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irawan\Documents\Abi\Occupancy\"/>
    </mc:Choice>
  </mc:AlternateContent>
  <bookViews>
    <workbookView xWindow="0" yWindow="0" windowWidth="24000" windowHeight="9735" activeTab="2"/>
  </bookViews>
  <sheets>
    <sheet name="Occupancy_SAI" sheetId="1" r:id="rId1"/>
    <sheet name="P_SAI" sheetId="3" r:id="rId2"/>
    <sheet name="Occupancy_JAI" sheetId="2" r:id="rId3"/>
    <sheet name="P_JAI" sheetId="4" r:id="rId4"/>
  </sheets>
  <definedNames>
    <definedName name="_xlcn.WorksheetConnection_OccupancyMeiJuni19.xlsxTable11" hidden="1">Table1[]</definedName>
    <definedName name="_xlcn.WorksheetConnection_OccupancyMeiJuni19.xlsxTable131" hidden="1">Table13[]</definedName>
    <definedName name="_xlcn.WorksheetConnection_OccupancyMeiJuni19.xlsxTable13451" hidden="1">Table1345[]</definedName>
    <definedName name="_xlcn.WorksheetConnection_OccupancyMeiJuni19.xlsxTable71" hidden="1">Table7[]</definedName>
  </definedNames>
  <calcPr calcId="162913"/>
  <extLst>
    <ext xmlns:x15="http://schemas.microsoft.com/office/spreadsheetml/2010/11/main" uri="{841E416B-1EF1-43b6-AB56-02D37102CBD5}">
      <x15:pivotCaches>
        <pivotCache cacheId="4" r:id="rId5"/>
        <pivotCache cacheId="5" r:id="rId6"/>
        <pivotCache cacheId="6" r:id="rId7"/>
        <pivotCache cacheId="7" r:id="rId8"/>
      </x15:pivotCaches>
    </ext>
    <ext xmlns:x15="http://schemas.microsoft.com/office/spreadsheetml/2010/11/main" uri="{983426D0-5260-488c-9760-48F4B6AC55F4}">
      <x15:pivotTableReferences>
        <x15:pivotTableReference r:id="rId9"/>
        <x15:pivotTableReference r:id="rId10"/>
        <x15:pivotTableReference r:id="rId11"/>
        <x15:pivotTableReference r:id="rId12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7-8f93fb62-8b62-45ba-b9e6-4ed3562495d9" name="Table7" connection="WorksheetConnection_Occupancy Mei-Juni 19.xlsx!Table7"/>
          <x15:modelTable id="Table1345-70601b00-6ed3-4a67-adeb-cd27b8e4e609" name="Table1345" connection="WorksheetConnection_Occupancy Mei-Juni 19.xlsx!Table1345"/>
          <x15:modelTable id="Table13-649a82bf-86bf-43d2-aa93-1f8a1460b6a4" name="Table13" connection="WorksheetConnection_Occupancy Mei-Juni 19.xlsx!Table13"/>
          <x15:modelTable id="Table1-bc921c72-251f-437a-9303-41b4c74ab4d7" name="Table1" connection="WorksheetConnection_Occupancy Mei-Juni 19.xlsx!Table1"/>
        </x15:modelTables>
      </x15:dataModel>
    </ext>
  </extLst>
</workbook>
</file>

<file path=xl/calcChain.xml><?xml version="1.0" encoding="utf-8"?>
<calcChain xmlns="http://schemas.openxmlformats.org/spreadsheetml/2006/main">
  <c r="G166" i="2" l="1"/>
  <c r="H166" i="2" s="1"/>
  <c r="AE165" i="1"/>
  <c r="AF165" i="1"/>
  <c r="AG165" i="1"/>
  <c r="AA165" i="1"/>
  <c r="AB165" i="1" s="1"/>
  <c r="Q165" i="1"/>
  <c r="R165" i="1"/>
  <c r="G165" i="1"/>
  <c r="H165" i="1" s="1"/>
  <c r="AE164" i="1" l="1"/>
  <c r="AF164" i="1"/>
  <c r="AG164" i="1" s="1"/>
  <c r="AA164" i="1"/>
  <c r="AB164" i="1"/>
  <c r="Q164" i="1"/>
  <c r="R164" i="1"/>
  <c r="G164" i="1"/>
  <c r="H164" i="1"/>
  <c r="G165" i="2"/>
  <c r="H165" i="2" s="1"/>
  <c r="G164" i="2" l="1"/>
  <c r="H164" i="2" s="1"/>
  <c r="AE163" i="1"/>
  <c r="AF163" i="1"/>
  <c r="AA163" i="1"/>
  <c r="AB163" i="1" s="1"/>
  <c r="Q163" i="1"/>
  <c r="R163" i="1"/>
  <c r="G163" i="1"/>
  <c r="H163" i="1"/>
  <c r="AE162" i="1"/>
  <c r="AF162" i="1"/>
  <c r="AG162" i="1" s="1"/>
  <c r="AA162" i="1"/>
  <c r="AB162" i="1" s="1"/>
  <c r="Q162" i="1"/>
  <c r="R162" i="1"/>
  <c r="G162" i="1"/>
  <c r="H162" i="1" s="1"/>
  <c r="G163" i="2"/>
  <c r="H163" i="2" s="1"/>
  <c r="AG163" i="1" l="1"/>
  <c r="AE161" i="1"/>
  <c r="AF161" i="1"/>
  <c r="AA161" i="1"/>
  <c r="AB161" i="1" s="1"/>
  <c r="Q161" i="1"/>
  <c r="R161" i="1" s="1"/>
  <c r="G161" i="1"/>
  <c r="H161" i="1" s="1"/>
  <c r="G162" i="2"/>
  <c r="H162" i="2"/>
  <c r="AG161" i="1" l="1"/>
  <c r="AE160" i="1"/>
  <c r="AF160" i="1"/>
  <c r="AE159" i="1"/>
  <c r="AF159" i="1"/>
  <c r="AG159" i="1" s="1"/>
  <c r="AE158" i="1"/>
  <c r="AF158" i="1"/>
  <c r="AA160" i="1"/>
  <c r="AB160" i="1"/>
  <c r="Q160" i="1"/>
  <c r="R160" i="1" s="1"/>
  <c r="G160" i="1"/>
  <c r="H160" i="1" s="1"/>
  <c r="G161" i="2"/>
  <c r="H161" i="2" s="1"/>
  <c r="AG158" i="1" l="1"/>
  <c r="AG160" i="1"/>
  <c r="G160" i="2"/>
  <c r="H160" i="2" s="1"/>
  <c r="AA159" i="1"/>
  <c r="AB159" i="1" s="1"/>
  <c r="Q159" i="1"/>
  <c r="R159" i="1"/>
  <c r="G159" i="1"/>
  <c r="H159" i="1" s="1"/>
  <c r="AA158" i="1" l="1"/>
  <c r="AB158" i="1"/>
  <c r="Q158" i="1"/>
  <c r="R158" i="1" s="1"/>
  <c r="G158" i="1"/>
  <c r="H158" i="1" s="1"/>
  <c r="G159" i="2"/>
  <c r="H159" i="2" s="1"/>
  <c r="AE157" i="1" l="1"/>
  <c r="AF157" i="1"/>
  <c r="AG157" i="1" s="1"/>
  <c r="AA157" i="1"/>
  <c r="AB157" i="1" s="1"/>
  <c r="Q157" i="1"/>
  <c r="R157" i="1" s="1"/>
  <c r="G157" i="1"/>
  <c r="H157" i="1" s="1"/>
  <c r="G158" i="2"/>
  <c r="H158" i="2" s="1"/>
  <c r="G157" i="2" l="1"/>
  <c r="H157" i="2" s="1"/>
  <c r="AE156" i="1"/>
  <c r="AF156" i="1"/>
  <c r="AA156" i="1"/>
  <c r="AB156" i="1" s="1"/>
  <c r="Q156" i="1"/>
  <c r="R156" i="1" s="1"/>
  <c r="G156" i="1"/>
  <c r="H156" i="1" s="1"/>
  <c r="AG156" i="1" l="1"/>
  <c r="G156" i="2"/>
  <c r="H156" i="2" s="1"/>
  <c r="AE155" i="1"/>
  <c r="AF155" i="1"/>
  <c r="AA155" i="1"/>
  <c r="AB155" i="1" s="1"/>
  <c r="Q155" i="1"/>
  <c r="R155" i="1" s="1"/>
  <c r="G155" i="1"/>
  <c r="H155" i="1" s="1"/>
  <c r="AG155" i="1" l="1"/>
  <c r="G155" i="2"/>
  <c r="H155" i="2" s="1"/>
  <c r="AE154" i="1"/>
  <c r="AF154" i="1"/>
  <c r="AA154" i="1"/>
  <c r="AB154" i="1" s="1"/>
  <c r="Q154" i="1"/>
  <c r="R154" i="1" s="1"/>
  <c r="G154" i="1"/>
  <c r="H154" i="1" s="1"/>
  <c r="AG154" i="1" l="1"/>
  <c r="AE153" i="1"/>
  <c r="AF153" i="1"/>
  <c r="AA153" i="1"/>
  <c r="AB153" i="1" s="1"/>
  <c r="Q153" i="1"/>
  <c r="R153" i="1" s="1"/>
  <c r="G153" i="1"/>
  <c r="H153" i="1" s="1"/>
  <c r="G154" i="2"/>
  <c r="H154" i="2" s="1"/>
  <c r="AG153" i="1" l="1"/>
  <c r="G153" i="2"/>
  <c r="H153" i="2" s="1"/>
  <c r="AE152" i="1"/>
  <c r="AF152" i="1"/>
  <c r="AA152" i="1"/>
  <c r="AB152" i="1" s="1"/>
  <c r="Q152" i="1"/>
  <c r="R152" i="1" s="1"/>
  <c r="G152" i="1"/>
  <c r="H152" i="1" s="1"/>
  <c r="AG152" i="1" l="1"/>
  <c r="AE151" i="1"/>
  <c r="AF151" i="1"/>
  <c r="AA151" i="1"/>
  <c r="AB151" i="1" s="1"/>
  <c r="Q151" i="1"/>
  <c r="R151" i="1" s="1"/>
  <c r="G151" i="1"/>
  <c r="H151" i="1" s="1"/>
  <c r="G152" i="2"/>
  <c r="H152" i="2" s="1"/>
  <c r="AG151" i="1" l="1"/>
  <c r="G151" i="2"/>
  <c r="H151" i="2" s="1"/>
  <c r="AE150" i="1"/>
  <c r="AF150" i="1"/>
  <c r="AA150" i="1"/>
  <c r="AB150" i="1" s="1"/>
  <c r="Q150" i="1"/>
  <c r="R150" i="1" s="1"/>
  <c r="G150" i="1"/>
  <c r="H150" i="1" s="1"/>
  <c r="AG150" i="1" l="1"/>
  <c r="AE149" i="1"/>
  <c r="AF149" i="1"/>
  <c r="AA149" i="1"/>
  <c r="AB149" i="1" s="1"/>
  <c r="Q149" i="1"/>
  <c r="R149" i="1" s="1"/>
  <c r="G149" i="1"/>
  <c r="H149" i="1" s="1"/>
  <c r="G150" i="2"/>
  <c r="H150" i="2" s="1"/>
  <c r="AG149" i="1" l="1"/>
  <c r="G149" i="2"/>
  <c r="H149" i="2" s="1"/>
  <c r="AE148" i="1"/>
  <c r="AF148" i="1"/>
  <c r="AA148" i="1"/>
  <c r="AB148" i="1" s="1"/>
  <c r="Q148" i="1"/>
  <c r="R148" i="1" s="1"/>
  <c r="G148" i="1"/>
  <c r="H148" i="1" s="1"/>
  <c r="AG148" i="1" l="1"/>
  <c r="AE147" i="1"/>
  <c r="AF147" i="1"/>
  <c r="AA147" i="1"/>
  <c r="AB147" i="1" s="1"/>
  <c r="Q147" i="1"/>
  <c r="R147" i="1" s="1"/>
  <c r="G147" i="1"/>
  <c r="H147" i="1" s="1"/>
  <c r="G148" i="2"/>
  <c r="H148" i="2" s="1"/>
  <c r="AG147" i="1" l="1"/>
  <c r="G147" i="2"/>
  <c r="H147" i="2" s="1"/>
  <c r="AE146" i="1"/>
  <c r="AF146" i="1"/>
  <c r="AA146" i="1"/>
  <c r="AB146" i="1" s="1"/>
  <c r="Q146" i="1"/>
  <c r="R146" i="1" s="1"/>
  <c r="G146" i="1"/>
  <c r="H146" i="1" s="1"/>
  <c r="AG146" i="1" l="1"/>
  <c r="AE145" i="1"/>
  <c r="AF145" i="1"/>
  <c r="AA145" i="1"/>
  <c r="AB145" i="1" s="1"/>
  <c r="Q145" i="1"/>
  <c r="R145" i="1" s="1"/>
  <c r="G145" i="1"/>
  <c r="H145" i="1" s="1"/>
  <c r="G146" i="2"/>
  <c r="H146" i="2" s="1"/>
  <c r="AG145" i="1" l="1"/>
  <c r="G145" i="2"/>
  <c r="H145" i="2" s="1"/>
  <c r="AE144" i="1"/>
  <c r="AF144" i="1"/>
  <c r="AA144" i="1"/>
  <c r="AB144" i="1" s="1"/>
  <c r="Q144" i="1"/>
  <c r="R144" i="1" s="1"/>
  <c r="G144" i="1"/>
  <c r="H144" i="1" s="1"/>
  <c r="AG144" i="1" l="1"/>
  <c r="AE143" i="1"/>
  <c r="AF143" i="1"/>
  <c r="AA143" i="1"/>
  <c r="AB143" i="1" s="1"/>
  <c r="Q143" i="1"/>
  <c r="R143" i="1" s="1"/>
  <c r="G143" i="1"/>
  <c r="H143" i="1" s="1"/>
  <c r="G144" i="2"/>
  <c r="H144" i="2" s="1"/>
  <c r="AG143" i="1" l="1"/>
  <c r="G143" i="2"/>
  <c r="H143" i="2" s="1"/>
  <c r="AE142" i="1"/>
  <c r="AF142" i="1"/>
  <c r="AA142" i="1"/>
  <c r="AB142" i="1" s="1"/>
  <c r="Q142" i="1"/>
  <c r="R142" i="1" s="1"/>
  <c r="G142" i="1"/>
  <c r="H142" i="1" s="1"/>
  <c r="AG142" i="1" l="1"/>
  <c r="AE141" i="1"/>
  <c r="AF141" i="1"/>
  <c r="AA141" i="1"/>
  <c r="AB141" i="1" s="1"/>
  <c r="Q141" i="1"/>
  <c r="R141" i="1" s="1"/>
  <c r="G141" i="1"/>
  <c r="H141" i="1" s="1"/>
  <c r="G142" i="2"/>
  <c r="H142" i="2" s="1"/>
  <c r="AG141" i="1" l="1"/>
  <c r="G141" i="2"/>
  <c r="H141" i="2" s="1"/>
  <c r="AE140" i="1"/>
  <c r="AF140" i="1"/>
  <c r="AA140" i="1"/>
  <c r="AB140" i="1" s="1"/>
  <c r="Q140" i="1"/>
  <c r="R140" i="1" s="1"/>
  <c r="G140" i="1"/>
  <c r="H140" i="1" s="1"/>
  <c r="AG140" i="1" l="1"/>
  <c r="AE139" i="1"/>
  <c r="AF139" i="1"/>
  <c r="AA139" i="1"/>
  <c r="AB139" i="1" s="1"/>
  <c r="Q139" i="1"/>
  <c r="R139" i="1" s="1"/>
  <c r="G139" i="1"/>
  <c r="H139" i="1" s="1"/>
  <c r="G140" i="2"/>
  <c r="H140" i="2" s="1"/>
  <c r="AG139" i="1" l="1"/>
  <c r="G139" i="2"/>
  <c r="H139" i="2" s="1"/>
  <c r="AE138" i="1"/>
  <c r="AF138" i="1"/>
  <c r="AA138" i="1"/>
  <c r="AB138" i="1" s="1"/>
  <c r="Q138" i="1"/>
  <c r="R138" i="1" s="1"/>
  <c r="G138" i="1"/>
  <c r="H138" i="1" s="1"/>
  <c r="AG138" i="1" l="1"/>
  <c r="AE137" i="1"/>
  <c r="AF137" i="1"/>
  <c r="AA137" i="1"/>
  <c r="AB137" i="1" s="1"/>
  <c r="Q137" i="1"/>
  <c r="R137" i="1" s="1"/>
  <c r="G137" i="1"/>
  <c r="H137" i="1" s="1"/>
  <c r="G138" i="2"/>
  <c r="H138" i="2" s="1"/>
  <c r="AG137" i="1" l="1"/>
  <c r="G137" i="2"/>
  <c r="H137" i="2" s="1"/>
  <c r="AE136" i="1"/>
  <c r="AF136" i="1"/>
  <c r="AA136" i="1"/>
  <c r="AB136" i="1" s="1"/>
  <c r="Q136" i="1"/>
  <c r="R136" i="1" s="1"/>
  <c r="G136" i="1"/>
  <c r="H136" i="1" s="1"/>
  <c r="AG136" i="1" l="1"/>
  <c r="AE135" i="1"/>
  <c r="AF135" i="1"/>
  <c r="AA135" i="1"/>
  <c r="AB135" i="1" s="1"/>
  <c r="Q135" i="1"/>
  <c r="R135" i="1" s="1"/>
  <c r="G135" i="1"/>
  <c r="H135" i="1" s="1"/>
  <c r="G136" i="2"/>
  <c r="H136" i="2" s="1"/>
  <c r="AG135" i="1" l="1"/>
  <c r="G135" i="2"/>
  <c r="H135" i="2" s="1"/>
  <c r="AE134" i="1"/>
  <c r="AF134" i="1"/>
  <c r="AA134" i="1"/>
  <c r="AB134" i="1" s="1"/>
  <c r="Q134" i="1"/>
  <c r="R134" i="1" s="1"/>
  <c r="G134" i="1"/>
  <c r="H134" i="1" s="1"/>
  <c r="AG134" i="1" l="1"/>
  <c r="AE133" i="1"/>
  <c r="AF133" i="1"/>
  <c r="AA133" i="1"/>
  <c r="AB133" i="1" s="1"/>
  <c r="Q133" i="1"/>
  <c r="R133" i="1" s="1"/>
  <c r="G133" i="1"/>
  <c r="H133" i="1" s="1"/>
  <c r="G134" i="2"/>
  <c r="H134" i="2" s="1"/>
  <c r="AG133" i="1" l="1"/>
  <c r="G133" i="2"/>
  <c r="H133" i="2" s="1"/>
  <c r="AE132" i="1"/>
  <c r="AF132" i="1"/>
  <c r="AA132" i="1"/>
  <c r="AB132" i="1" s="1"/>
  <c r="Q132" i="1"/>
  <c r="R132" i="1" s="1"/>
  <c r="G132" i="1"/>
  <c r="H132" i="1" s="1"/>
  <c r="AG132" i="1" l="1"/>
  <c r="AE131" i="1"/>
  <c r="AF131" i="1"/>
  <c r="AA131" i="1"/>
  <c r="AB131" i="1" s="1"/>
  <c r="Q131" i="1"/>
  <c r="R131" i="1" s="1"/>
  <c r="G131" i="1"/>
  <c r="H131" i="1" s="1"/>
  <c r="G132" i="2"/>
  <c r="H132" i="2" s="1"/>
  <c r="AG131" i="1" l="1"/>
  <c r="G131" i="2"/>
  <c r="H131" i="2" s="1"/>
  <c r="AE130" i="1"/>
  <c r="AF130" i="1"/>
  <c r="AA130" i="1"/>
  <c r="AB130" i="1" s="1"/>
  <c r="Q130" i="1"/>
  <c r="R130" i="1" s="1"/>
  <c r="G130" i="1"/>
  <c r="H130" i="1" s="1"/>
  <c r="AG130" i="1" l="1"/>
  <c r="AE129" i="1"/>
  <c r="AF129" i="1"/>
  <c r="AA129" i="1"/>
  <c r="AB129" i="1" s="1"/>
  <c r="Q129" i="1"/>
  <c r="R129" i="1" s="1"/>
  <c r="G129" i="1"/>
  <c r="H129" i="1" s="1"/>
  <c r="G130" i="2"/>
  <c r="H130" i="2" s="1"/>
  <c r="AG129" i="1" l="1"/>
  <c r="G129" i="2"/>
  <c r="H129" i="2" s="1"/>
  <c r="AE128" i="1"/>
  <c r="AF128" i="1"/>
  <c r="AA128" i="1"/>
  <c r="AB128" i="1" s="1"/>
  <c r="Q128" i="1"/>
  <c r="R128" i="1" s="1"/>
  <c r="G128" i="1"/>
  <c r="H128" i="1" s="1"/>
  <c r="AG128" i="1" l="1"/>
  <c r="G128" i="2"/>
  <c r="H128" i="2" s="1"/>
  <c r="AE127" i="1"/>
  <c r="AF127" i="1"/>
  <c r="AA127" i="1"/>
  <c r="AB127" i="1" s="1"/>
  <c r="Q127" i="1"/>
  <c r="R127" i="1" s="1"/>
  <c r="G127" i="1"/>
  <c r="H127" i="1" s="1"/>
  <c r="AG127" i="1" l="1"/>
  <c r="AE4" i="1"/>
  <c r="AF4" i="1"/>
  <c r="AE5" i="1"/>
  <c r="AF5" i="1"/>
  <c r="AE6" i="1"/>
  <c r="AF6" i="1"/>
  <c r="AE7" i="1"/>
  <c r="AF7" i="1"/>
  <c r="AE8" i="1"/>
  <c r="AF8" i="1"/>
  <c r="AE9" i="1"/>
  <c r="AF9" i="1"/>
  <c r="AE10" i="1"/>
  <c r="AF10" i="1"/>
  <c r="AE11" i="1"/>
  <c r="AF11" i="1"/>
  <c r="AE12" i="1"/>
  <c r="AF12" i="1"/>
  <c r="AE13" i="1"/>
  <c r="AF13" i="1"/>
  <c r="AE14" i="1"/>
  <c r="AF14" i="1"/>
  <c r="AE15" i="1"/>
  <c r="AF15" i="1"/>
  <c r="AE16" i="1"/>
  <c r="AF16" i="1"/>
  <c r="AE17" i="1"/>
  <c r="AF17" i="1"/>
  <c r="AE18" i="1"/>
  <c r="AF18" i="1"/>
  <c r="AE19" i="1"/>
  <c r="AF19" i="1"/>
  <c r="AE20" i="1"/>
  <c r="AF20" i="1"/>
  <c r="AE21" i="1"/>
  <c r="AF21" i="1"/>
  <c r="AE22" i="1"/>
  <c r="AF22" i="1"/>
  <c r="AE23" i="1"/>
  <c r="AF23" i="1"/>
  <c r="AE24" i="1"/>
  <c r="AF24" i="1"/>
  <c r="AE25" i="1"/>
  <c r="AF25" i="1"/>
  <c r="AE26" i="1"/>
  <c r="AF26" i="1"/>
  <c r="AE27" i="1"/>
  <c r="AF27" i="1"/>
  <c r="AE28" i="1"/>
  <c r="AF28" i="1"/>
  <c r="AE29" i="1"/>
  <c r="AF29" i="1"/>
  <c r="AE30" i="1"/>
  <c r="AF30" i="1"/>
  <c r="AE31" i="1"/>
  <c r="AF31" i="1"/>
  <c r="AE32" i="1"/>
  <c r="AF32" i="1"/>
  <c r="AE33" i="1"/>
  <c r="AF33" i="1"/>
  <c r="AE34" i="1"/>
  <c r="AF34" i="1"/>
  <c r="AE35" i="1"/>
  <c r="AF35" i="1"/>
  <c r="AE36" i="1"/>
  <c r="AF36" i="1"/>
  <c r="AE37" i="1"/>
  <c r="AF37" i="1"/>
  <c r="AE38" i="1"/>
  <c r="AF38" i="1"/>
  <c r="AE39" i="1"/>
  <c r="AF39" i="1"/>
  <c r="AE40" i="1"/>
  <c r="AF40" i="1"/>
  <c r="AE41" i="1"/>
  <c r="AF41" i="1"/>
  <c r="AE42" i="1"/>
  <c r="AF42" i="1"/>
  <c r="AE43" i="1"/>
  <c r="AF43" i="1"/>
  <c r="AE44" i="1"/>
  <c r="AF44" i="1"/>
  <c r="AE45" i="1"/>
  <c r="AF45" i="1"/>
  <c r="AE46" i="1"/>
  <c r="AF46" i="1"/>
  <c r="AE47" i="1"/>
  <c r="AF47" i="1"/>
  <c r="AE48" i="1"/>
  <c r="AF48" i="1"/>
  <c r="AE49" i="1"/>
  <c r="AF49" i="1"/>
  <c r="AE50" i="1"/>
  <c r="AF50" i="1"/>
  <c r="AE51" i="1"/>
  <c r="AF51" i="1"/>
  <c r="AE52" i="1"/>
  <c r="AF52" i="1"/>
  <c r="AE53" i="1"/>
  <c r="AF53" i="1"/>
  <c r="AE54" i="1"/>
  <c r="AF54" i="1"/>
  <c r="AE55" i="1"/>
  <c r="AF55" i="1"/>
  <c r="AE56" i="1"/>
  <c r="AF56" i="1"/>
  <c r="AE57" i="1"/>
  <c r="AF57" i="1"/>
  <c r="AE58" i="1"/>
  <c r="AF58" i="1"/>
  <c r="AE59" i="1"/>
  <c r="AF59" i="1"/>
  <c r="AE60" i="1"/>
  <c r="AF60" i="1"/>
  <c r="AE61" i="1"/>
  <c r="AF61" i="1"/>
  <c r="AE62" i="1"/>
  <c r="AF62" i="1"/>
  <c r="AE63" i="1"/>
  <c r="AF63" i="1"/>
  <c r="AE64" i="1"/>
  <c r="AF64" i="1"/>
  <c r="AE65" i="1"/>
  <c r="AF65" i="1"/>
  <c r="AE66" i="1"/>
  <c r="AF66" i="1"/>
  <c r="AE67" i="1"/>
  <c r="AF67" i="1"/>
  <c r="AE68" i="1"/>
  <c r="AF68" i="1"/>
  <c r="AE69" i="1"/>
  <c r="AF69" i="1"/>
  <c r="AE70" i="1"/>
  <c r="AF70" i="1"/>
  <c r="AE71" i="1"/>
  <c r="AF71" i="1"/>
  <c r="AE72" i="1"/>
  <c r="AF72" i="1"/>
  <c r="AE73" i="1"/>
  <c r="AF73" i="1"/>
  <c r="AE74" i="1"/>
  <c r="AF74" i="1"/>
  <c r="AE75" i="1"/>
  <c r="AF75" i="1"/>
  <c r="AE76" i="1"/>
  <c r="AF76" i="1"/>
  <c r="AE77" i="1"/>
  <c r="AF77" i="1"/>
  <c r="AE78" i="1"/>
  <c r="AF78" i="1"/>
  <c r="AE79" i="1"/>
  <c r="AF79" i="1"/>
  <c r="AE80" i="1"/>
  <c r="AF80" i="1"/>
  <c r="AE81" i="1"/>
  <c r="AF81" i="1"/>
  <c r="AE82" i="1"/>
  <c r="AF82" i="1"/>
  <c r="AE83" i="1"/>
  <c r="AF83" i="1"/>
  <c r="AE84" i="1"/>
  <c r="AF84" i="1"/>
  <c r="AE85" i="1"/>
  <c r="AF85" i="1"/>
  <c r="AE86" i="1"/>
  <c r="AF86" i="1"/>
  <c r="AE87" i="1"/>
  <c r="AF87" i="1"/>
  <c r="AE88" i="1"/>
  <c r="AF88" i="1"/>
  <c r="AE89" i="1"/>
  <c r="AF89" i="1"/>
  <c r="AE90" i="1"/>
  <c r="AF90" i="1"/>
  <c r="AE91" i="1"/>
  <c r="AF91" i="1"/>
  <c r="AE92" i="1"/>
  <c r="AF92" i="1"/>
  <c r="AE93" i="1"/>
  <c r="AF93" i="1"/>
  <c r="AE94" i="1"/>
  <c r="AF94" i="1"/>
  <c r="AE95" i="1"/>
  <c r="AF95" i="1"/>
  <c r="AE96" i="1"/>
  <c r="AF96" i="1"/>
  <c r="AE97" i="1"/>
  <c r="AF97" i="1"/>
  <c r="AE98" i="1"/>
  <c r="AF98" i="1"/>
  <c r="AE99" i="1"/>
  <c r="AF99" i="1"/>
  <c r="AE100" i="1"/>
  <c r="AF100" i="1"/>
  <c r="AE101" i="1"/>
  <c r="AF101" i="1"/>
  <c r="AE102" i="1"/>
  <c r="AF102" i="1"/>
  <c r="AE103" i="1"/>
  <c r="AF103" i="1"/>
  <c r="AE104" i="1"/>
  <c r="AF104" i="1"/>
  <c r="AE105" i="1"/>
  <c r="AF105" i="1"/>
  <c r="AE106" i="1"/>
  <c r="AF106" i="1"/>
  <c r="AE107" i="1"/>
  <c r="AF107" i="1"/>
  <c r="AE108" i="1"/>
  <c r="AF108" i="1"/>
  <c r="AE109" i="1"/>
  <c r="AF109" i="1"/>
  <c r="AE110" i="1"/>
  <c r="AF110" i="1"/>
  <c r="AE111" i="1"/>
  <c r="AF111" i="1"/>
  <c r="AE112" i="1"/>
  <c r="AF112" i="1"/>
  <c r="AE113" i="1"/>
  <c r="AF113" i="1"/>
  <c r="AE114" i="1"/>
  <c r="AF114" i="1"/>
  <c r="AE115" i="1"/>
  <c r="AF115" i="1"/>
  <c r="AE116" i="1"/>
  <c r="AF116" i="1"/>
  <c r="AE117" i="1"/>
  <c r="AF117" i="1"/>
  <c r="AE118" i="1"/>
  <c r="AF118" i="1"/>
  <c r="AE119" i="1"/>
  <c r="AF119" i="1"/>
  <c r="AE120" i="1"/>
  <c r="AF120" i="1"/>
  <c r="AE121" i="1"/>
  <c r="AF121" i="1"/>
  <c r="AE122" i="1"/>
  <c r="AF122" i="1"/>
  <c r="AE123" i="1"/>
  <c r="AF123" i="1"/>
  <c r="AE124" i="1"/>
  <c r="AF124" i="1"/>
  <c r="AE125" i="1"/>
  <c r="AF125" i="1"/>
  <c r="AE126" i="1"/>
  <c r="AF126" i="1"/>
  <c r="AF3" i="1"/>
  <c r="AE3" i="1"/>
  <c r="AG86" i="1" l="1"/>
  <c r="AG84" i="1"/>
  <c r="AG70" i="1"/>
  <c r="AG68" i="1"/>
  <c r="AG22" i="1"/>
  <c r="AG20" i="1"/>
  <c r="AG6" i="1"/>
  <c r="AG4" i="1"/>
  <c r="AG99" i="1"/>
  <c r="AG87" i="1"/>
  <c r="AG71" i="1"/>
  <c r="AG35" i="1"/>
  <c r="AG23" i="1"/>
  <c r="AG21" i="1"/>
  <c r="AG7" i="1"/>
  <c r="AG5" i="1"/>
  <c r="AG121" i="1"/>
  <c r="AG111" i="1"/>
  <c r="AG109" i="1"/>
  <c r="AG107" i="1"/>
  <c r="AG105" i="1"/>
  <c r="AG67" i="1"/>
  <c r="AG65" i="1"/>
  <c r="AG63" i="1"/>
  <c r="AG61" i="1"/>
  <c r="AG59" i="1"/>
  <c r="AG57" i="1"/>
  <c r="AG51" i="1"/>
  <c r="AG49" i="1"/>
  <c r="AG47" i="1"/>
  <c r="AG45" i="1"/>
  <c r="AG43" i="1"/>
  <c r="AG41" i="1"/>
  <c r="AG123" i="1"/>
  <c r="AG113" i="1"/>
  <c r="AG125" i="1"/>
  <c r="AG115" i="1"/>
  <c r="AG3" i="1"/>
  <c r="AG119" i="1"/>
  <c r="AG103" i="1"/>
  <c r="AG54" i="1"/>
  <c r="AG52" i="1"/>
  <c r="AG38" i="1"/>
  <c r="AG36" i="1"/>
  <c r="AG33" i="1"/>
  <c r="AG31" i="1"/>
  <c r="AG29" i="1"/>
  <c r="AG27" i="1"/>
  <c r="AG25" i="1"/>
  <c r="AG19" i="1"/>
  <c r="AG15" i="1"/>
  <c r="AG11" i="1"/>
  <c r="AG118" i="1"/>
  <c r="AG116" i="1"/>
  <c r="AG102" i="1"/>
  <c r="AG100" i="1"/>
  <c r="AG97" i="1"/>
  <c r="AG95" i="1"/>
  <c r="AG93" i="1"/>
  <c r="AG91" i="1"/>
  <c r="AG89" i="1"/>
  <c r="AG83" i="1"/>
  <c r="AG81" i="1"/>
  <c r="AG79" i="1"/>
  <c r="AG77" i="1"/>
  <c r="AG75" i="1"/>
  <c r="AG73" i="1"/>
  <c r="AG55" i="1"/>
  <c r="AG39" i="1"/>
  <c r="AG110" i="1"/>
  <c r="AG108" i="1"/>
  <c r="AG101" i="1"/>
  <c r="AG78" i="1"/>
  <c r="AG76" i="1"/>
  <c r="AG69" i="1"/>
  <c r="AG46" i="1"/>
  <c r="AG44" i="1"/>
  <c r="AG37" i="1"/>
  <c r="AG14" i="1"/>
  <c r="AG12" i="1"/>
  <c r="AG126" i="1"/>
  <c r="AG124" i="1"/>
  <c r="AG117" i="1"/>
  <c r="AG94" i="1"/>
  <c r="AG92" i="1"/>
  <c r="AG85" i="1"/>
  <c r="AG62" i="1"/>
  <c r="AG60" i="1"/>
  <c r="AG53" i="1"/>
  <c r="AG30" i="1"/>
  <c r="AG28" i="1"/>
  <c r="AG13" i="1"/>
  <c r="AG122" i="1"/>
  <c r="AG120" i="1"/>
  <c r="AG106" i="1"/>
  <c r="AG104" i="1"/>
  <c r="AG90" i="1"/>
  <c r="AG88" i="1"/>
  <c r="AG74" i="1"/>
  <c r="AG72" i="1"/>
  <c r="AG58" i="1"/>
  <c r="AG56" i="1"/>
  <c r="AG42" i="1"/>
  <c r="AG40" i="1"/>
  <c r="AG26" i="1"/>
  <c r="AG24" i="1"/>
  <c r="AG17" i="1"/>
  <c r="AG10" i="1"/>
  <c r="AG8" i="1"/>
  <c r="AG114" i="1"/>
  <c r="AG112" i="1"/>
  <c r="AG98" i="1"/>
  <c r="AG96" i="1"/>
  <c r="AG82" i="1"/>
  <c r="AG80" i="1"/>
  <c r="AG66" i="1"/>
  <c r="AG64" i="1"/>
  <c r="AG50" i="1"/>
  <c r="AG48" i="1"/>
  <c r="AG34" i="1"/>
  <c r="AG32" i="1"/>
  <c r="AG18" i="1"/>
  <c r="AG16" i="1"/>
  <c r="AG9" i="1"/>
  <c r="G127" i="2"/>
  <c r="H127" i="2" s="1"/>
  <c r="AA126" i="1"/>
  <c r="AB126" i="1" s="1"/>
  <c r="Q126" i="1"/>
  <c r="R126" i="1" s="1"/>
  <c r="G126" i="1"/>
  <c r="H126" i="1" s="1"/>
  <c r="AA125" i="1" l="1"/>
  <c r="AB125" i="1" s="1"/>
  <c r="Q125" i="1"/>
  <c r="R125" i="1" s="1"/>
  <c r="G125" i="1"/>
  <c r="H125" i="1" s="1"/>
  <c r="G126" i="2"/>
  <c r="H126" i="2" s="1"/>
  <c r="G125" i="2" l="1"/>
  <c r="H125" i="2" s="1"/>
  <c r="AA124" i="1"/>
  <c r="AB124" i="1" s="1"/>
  <c r="Q124" i="1"/>
  <c r="R124" i="1" s="1"/>
  <c r="G124" i="1"/>
  <c r="H124" i="1" s="1"/>
  <c r="AA123" i="1" l="1"/>
  <c r="AB123" i="1" s="1"/>
  <c r="Q123" i="1"/>
  <c r="R123" i="1" s="1"/>
  <c r="G123" i="1"/>
  <c r="H123" i="1" s="1"/>
  <c r="G124" i="2"/>
  <c r="H124" i="2" s="1"/>
  <c r="G123" i="2" l="1"/>
  <c r="H123" i="2" s="1"/>
  <c r="AA122" i="1"/>
  <c r="AB122" i="1" s="1"/>
  <c r="Q122" i="1"/>
  <c r="R122" i="1" s="1"/>
  <c r="G122" i="1"/>
  <c r="H122" i="1" s="1"/>
  <c r="AA121" i="1" l="1"/>
  <c r="AB121" i="1" s="1"/>
  <c r="Q121" i="1"/>
  <c r="R121" i="1" s="1"/>
  <c r="G121" i="1"/>
  <c r="H121" i="1" s="1"/>
  <c r="G122" i="2"/>
  <c r="H122" i="2" s="1"/>
  <c r="G121" i="2" l="1"/>
  <c r="H121" i="2" s="1"/>
  <c r="AA120" i="1"/>
  <c r="AB120" i="1" s="1"/>
  <c r="Q120" i="1"/>
  <c r="R120" i="1" s="1"/>
  <c r="G120" i="1"/>
  <c r="H120" i="1" s="1"/>
  <c r="AA119" i="1" l="1"/>
  <c r="AB119" i="1" s="1"/>
  <c r="Q119" i="1"/>
  <c r="R119" i="1" s="1"/>
  <c r="G119" i="1"/>
  <c r="H119" i="1" s="1"/>
  <c r="G120" i="2"/>
  <c r="H120" i="2" s="1"/>
  <c r="G119" i="2" l="1"/>
  <c r="H119" i="2" s="1"/>
  <c r="AA118" i="1"/>
  <c r="AB118" i="1" s="1"/>
  <c r="Q118" i="1"/>
  <c r="R118" i="1" s="1"/>
  <c r="G118" i="1"/>
  <c r="H118" i="1" s="1"/>
  <c r="AA117" i="1" l="1"/>
  <c r="AB117" i="1" s="1"/>
  <c r="Q117" i="1"/>
  <c r="R117" i="1" s="1"/>
  <c r="G117" i="1"/>
  <c r="H117" i="1" s="1"/>
  <c r="G118" i="2"/>
  <c r="H118" i="2" s="1"/>
  <c r="AA116" i="1" l="1"/>
  <c r="AB116" i="1" s="1"/>
  <c r="Q116" i="1"/>
  <c r="R116" i="1" s="1"/>
  <c r="G116" i="1"/>
  <c r="H116" i="1" s="1"/>
  <c r="G117" i="2"/>
  <c r="H117" i="2" s="1"/>
  <c r="G116" i="2" l="1"/>
  <c r="H116" i="2" s="1"/>
  <c r="AA115" i="1"/>
  <c r="AB115" i="1" s="1"/>
  <c r="Q115" i="1"/>
  <c r="R115" i="1" s="1"/>
  <c r="G115" i="1"/>
  <c r="H115" i="1" s="1"/>
  <c r="AA114" i="1" l="1"/>
  <c r="AB114" i="1" s="1"/>
  <c r="Q114" i="1"/>
  <c r="R114" i="1" s="1"/>
  <c r="G114" i="1"/>
  <c r="H114" i="1" s="1"/>
  <c r="G115" i="2"/>
  <c r="H115" i="2" s="1"/>
  <c r="G114" i="2" l="1"/>
  <c r="H114" i="2" s="1"/>
  <c r="AA113" i="1"/>
  <c r="AB113" i="1" s="1"/>
  <c r="Q113" i="1"/>
  <c r="R113" i="1" s="1"/>
  <c r="G113" i="1"/>
  <c r="H113" i="1" s="1"/>
  <c r="G113" i="2" l="1"/>
  <c r="H113" i="2" s="1"/>
  <c r="AA112" i="1"/>
  <c r="AB112" i="1" s="1"/>
  <c r="Q112" i="1"/>
  <c r="R112" i="1" s="1"/>
  <c r="G112" i="1"/>
  <c r="H112" i="1" s="1"/>
  <c r="G112" i="2" l="1"/>
  <c r="H112" i="2" s="1"/>
  <c r="AA111" i="1"/>
  <c r="AB111" i="1" s="1"/>
  <c r="Q111" i="1"/>
  <c r="R111" i="1" s="1"/>
  <c r="G111" i="1"/>
  <c r="H111" i="1" s="1"/>
  <c r="AA110" i="1" l="1"/>
  <c r="AB110" i="1" s="1"/>
  <c r="Q110" i="1"/>
  <c r="R110" i="1" s="1"/>
  <c r="G110" i="1"/>
  <c r="H110" i="1" s="1"/>
  <c r="G111" i="2"/>
  <c r="H111" i="2" s="1"/>
  <c r="G110" i="2" l="1"/>
  <c r="H110" i="2" s="1"/>
  <c r="AA109" i="1"/>
  <c r="AB109" i="1" s="1"/>
  <c r="Q109" i="1"/>
  <c r="R109" i="1" s="1"/>
  <c r="G109" i="1"/>
  <c r="H109" i="1" s="1"/>
  <c r="AA108" i="1" l="1"/>
  <c r="AB108" i="1" s="1"/>
  <c r="Q108" i="1"/>
  <c r="R108" i="1" s="1"/>
  <c r="G108" i="1"/>
  <c r="H108" i="1" s="1"/>
  <c r="G109" i="2"/>
  <c r="H109" i="2" s="1"/>
  <c r="G108" i="2" l="1"/>
  <c r="H108" i="2" s="1"/>
  <c r="AA107" i="1"/>
  <c r="AB107" i="1" s="1"/>
  <c r="Q107" i="1"/>
  <c r="R107" i="1" s="1"/>
  <c r="G107" i="1"/>
  <c r="H107" i="1" s="1"/>
  <c r="G107" i="2" l="1"/>
  <c r="H107" i="2" s="1"/>
  <c r="AA106" i="1"/>
  <c r="AB106" i="1" s="1"/>
  <c r="Q106" i="1"/>
  <c r="R106" i="1" s="1"/>
  <c r="G106" i="1"/>
  <c r="H106" i="1" s="1"/>
  <c r="AA105" i="1" l="1"/>
  <c r="AB105" i="1" s="1"/>
  <c r="Q105" i="1"/>
  <c r="R105" i="1" s="1"/>
  <c r="G105" i="1"/>
  <c r="H105" i="1" s="1"/>
  <c r="G106" i="2"/>
  <c r="H106" i="2" s="1"/>
  <c r="G105" i="2" l="1"/>
  <c r="H105" i="2" s="1"/>
  <c r="AA104" i="1"/>
  <c r="AB104" i="1" s="1"/>
  <c r="Q104" i="1"/>
  <c r="R104" i="1" s="1"/>
  <c r="G104" i="1"/>
  <c r="H104" i="1" s="1"/>
  <c r="G104" i="2" l="1"/>
  <c r="H104" i="2" s="1"/>
  <c r="AA103" i="1"/>
  <c r="AB103" i="1" s="1"/>
  <c r="Q103" i="1"/>
  <c r="R103" i="1" s="1"/>
  <c r="G103" i="1"/>
  <c r="H103" i="1" s="1"/>
  <c r="G103" i="2" l="1"/>
  <c r="H103" i="2" s="1"/>
  <c r="AA102" i="1"/>
  <c r="AB102" i="1" s="1"/>
  <c r="Q102" i="1"/>
  <c r="R102" i="1" s="1"/>
  <c r="G102" i="1"/>
  <c r="H102" i="1" s="1"/>
  <c r="AA101" i="1" l="1"/>
  <c r="AB101" i="1" s="1"/>
  <c r="Q101" i="1"/>
  <c r="R101" i="1" s="1"/>
  <c r="G101" i="1"/>
  <c r="H101" i="1" s="1"/>
  <c r="G102" i="2"/>
  <c r="H102" i="2" s="1"/>
  <c r="G101" i="2" l="1"/>
  <c r="H101" i="2" s="1"/>
  <c r="AA100" i="1"/>
  <c r="AB100" i="1" s="1"/>
  <c r="Q100" i="1"/>
  <c r="R100" i="1" s="1"/>
  <c r="G100" i="1"/>
  <c r="H100" i="1" s="1"/>
  <c r="AA99" i="1" l="1"/>
  <c r="AB99" i="1" s="1"/>
  <c r="Q99" i="1"/>
  <c r="R99" i="1" s="1"/>
  <c r="G99" i="1"/>
  <c r="H99" i="1" s="1"/>
  <c r="G100" i="2"/>
  <c r="H100" i="2" s="1"/>
  <c r="G99" i="2" l="1"/>
  <c r="H99" i="2" s="1"/>
  <c r="AA98" i="1"/>
  <c r="AB98" i="1" s="1"/>
  <c r="Q98" i="1"/>
  <c r="R98" i="1" s="1"/>
  <c r="G98" i="1"/>
  <c r="H98" i="1" s="1"/>
  <c r="AA97" i="1" l="1"/>
  <c r="AB97" i="1" s="1"/>
  <c r="Q97" i="1"/>
  <c r="R97" i="1" s="1"/>
  <c r="G97" i="1"/>
  <c r="H97" i="1" s="1"/>
  <c r="G98" i="2"/>
  <c r="H98" i="2" s="1"/>
  <c r="G97" i="2" l="1"/>
  <c r="H97" i="2" s="1"/>
  <c r="AA96" i="1"/>
  <c r="AB96" i="1" s="1"/>
  <c r="Q96" i="1"/>
  <c r="R96" i="1" s="1"/>
  <c r="G96" i="1"/>
  <c r="H96" i="1" s="1"/>
  <c r="AA95" i="1" l="1"/>
  <c r="AB95" i="1" s="1"/>
  <c r="Q95" i="1"/>
  <c r="R95" i="1" s="1"/>
  <c r="G95" i="1"/>
  <c r="H95" i="1" s="1"/>
  <c r="G96" i="2"/>
  <c r="H96" i="2" s="1"/>
  <c r="G95" i="2" l="1"/>
  <c r="H95" i="2" s="1"/>
  <c r="AA94" i="1"/>
  <c r="AB94" i="1" s="1"/>
  <c r="Q94" i="1"/>
  <c r="R94" i="1" s="1"/>
  <c r="G94" i="1"/>
  <c r="H94" i="1" s="1"/>
  <c r="AA93" i="1" l="1"/>
  <c r="AB93" i="1" s="1"/>
  <c r="Q93" i="1"/>
  <c r="R93" i="1" s="1"/>
  <c r="G93" i="1"/>
  <c r="H93" i="1" s="1"/>
  <c r="G94" i="2"/>
  <c r="H94" i="2" s="1"/>
  <c r="G93" i="2" l="1"/>
  <c r="H93" i="2" s="1"/>
  <c r="AA92" i="1"/>
  <c r="AB92" i="1" s="1"/>
  <c r="Q92" i="1"/>
  <c r="R92" i="1" s="1"/>
  <c r="G92" i="1"/>
  <c r="H92" i="1" s="1"/>
  <c r="AA91" i="1" l="1"/>
  <c r="AB91" i="1" s="1"/>
  <c r="Q91" i="1"/>
  <c r="R91" i="1" s="1"/>
  <c r="G91" i="1"/>
  <c r="H91" i="1" s="1"/>
  <c r="G92" i="2"/>
  <c r="H92" i="2" s="1"/>
  <c r="G91" i="2" l="1"/>
  <c r="H91" i="2" s="1"/>
  <c r="AA90" i="1"/>
  <c r="AB90" i="1" s="1"/>
  <c r="Q90" i="1"/>
  <c r="R90" i="1" s="1"/>
  <c r="G90" i="1"/>
  <c r="H90" i="1" s="1"/>
  <c r="G90" i="2" l="1"/>
  <c r="H90" i="2" s="1"/>
  <c r="AA89" i="1"/>
  <c r="AB89" i="1" s="1"/>
  <c r="Q89" i="1"/>
  <c r="R89" i="1" s="1"/>
  <c r="G89" i="1"/>
  <c r="H89" i="1" s="1"/>
  <c r="AA88" i="1" l="1"/>
  <c r="AB88" i="1" s="1"/>
  <c r="Q88" i="1"/>
  <c r="R88" i="1" s="1"/>
  <c r="G88" i="1"/>
  <c r="H88" i="1" s="1"/>
  <c r="G89" i="2"/>
  <c r="H89" i="2" s="1"/>
  <c r="G88" i="2" l="1"/>
  <c r="H88" i="2" s="1"/>
  <c r="AA87" i="1"/>
  <c r="AB87" i="1" s="1"/>
  <c r="Q87" i="1"/>
  <c r="R87" i="1" s="1"/>
  <c r="G87" i="1"/>
  <c r="H87" i="1" s="1"/>
  <c r="AA86" i="1" l="1"/>
  <c r="AB86" i="1" s="1"/>
  <c r="Q86" i="1"/>
  <c r="R86" i="1" s="1"/>
  <c r="G86" i="1"/>
  <c r="H86" i="1" s="1"/>
  <c r="G87" i="2"/>
  <c r="H87" i="2" s="1"/>
  <c r="AA85" i="1" l="1"/>
  <c r="AB85" i="1" s="1"/>
  <c r="Q85" i="1"/>
  <c r="R85" i="1" s="1"/>
  <c r="G85" i="1"/>
  <c r="H85" i="1" s="1"/>
  <c r="G86" i="2"/>
  <c r="H86" i="2" s="1"/>
  <c r="G85" i="2" l="1"/>
  <c r="H85" i="2" s="1"/>
  <c r="G84" i="2" l="1"/>
  <c r="H84" i="2" s="1"/>
  <c r="AA84" i="1"/>
  <c r="AB84" i="1" s="1"/>
  <c r="Q84" i="1"/>
  <c r="R84" i="1" s="1"/>
  <c r="G84" i="1"/>
  <c r="H84" i="1" s="1"/>
  <c r="G83" i="2" l="1"/>
  <c r="H83" i="2" s="1"/>
  <c r="AA83" i="1"/>
  <c r="AB83" i="1" s="1"/>
  <c r="Q83" i="1"/>
  <c r="R83" i="1" s="1"/>
  <c r="G83" i="1"/>
  <c r="H83" i="1" s="1"/>
  <c r="AA82" i="1" l="1"/>
  <c r="AB82" i="1" s="1"/>
  <c r="Q82" i="1"/>
  <c r="R82" i="1" s="1"/>
  <c r="G82" i="1"/>
  <c r="H82" i="1" s="1"/>
  <c r="G82" i="2"/>
  <c r="H82" i="2" s="1"/>
  <c r="G81" i="2" l="1"/>
  <c r="H81" i="2" s="1"/>
  <c r="AA81" i="1"/>
  <c r="AB81" i="1" s="1"/>
  <c r="Q81" i="1"/>
  <c r="R81" i="1" s="1"/>
  <c r="G81" i="1"/>
  <c r="H81" i="1" s="1"/>
  <c r="AA80" i="1" l="1"/>
  <c r="AB80" i="1" s="1"/>
  <c r="Q80" i="1"/>
  <c r="R80" i="1" s="1"/>
  <c r="G80" i="1"/>
  <c r="H80" i="1" s="1"/>
  <c r="G80" i="2"/>
  <c r="H80" i="2" s="1"/>
  <c r="G79" i="2" l="1"/>
  <c r="H79" i="2" s="1"/>
  <c r="AA79" i="1"/>
  <c r="AB79" i="1" s="1"/>
  <c r="Q79" i="1"/>
  <c r="R79" i="1" s="1"/>
  <c r="G79" i="1"/>
  <c r="H79" i="1" s="1"/>
  <c r="AA78" i="1" l="1"/>
  <c r="AB78" i="1" s="1"/>
  <c r="Q78" i="1"/>
  <c r="R78" i="1" s="1"/>
  <c r="G78" i="1"/>
  <c r="H78" i="1" s="1"/>
  <c r="G78" i="2"/>
  <c r="H78" i="2" s="1"/>
  <c r="G77" i="2" l="1"/>
  <c r="H77" i="2" s="1"/>
  <c r="AA77" i="1"/>
  <c r="AB77" i="1" s="1"/>
  <c r="Q77" i="1"/>
  <c r="R77" i="1" s="1"/>
  <c r="G77" i="1"/>
  <c r="H77" i="1" s="1"/>
  <c r="G76" i="2" l="1"/>
  <c r="H76" i="2" s="1"/>
  <c r="AA76" i="1"/>
  <c r="AB76" i="1" s="1"/>
  <c r="Q76" i="1"/>
  <c r="R76" i="1" s="1"/>
  <c r="G76" i="1"/>
  <c r="H76" i="1" s="1"/>
  <c r="AB75" i="1" l="1"/>
  <c r="Q75" i="1"/>
  <c r="R75" i="1" s="1"/>
  <c r="G75" i="1"/>
  <c r="H75" i="1" s="1"/>
  <c r="G75" i="2"/>
  <c r="H75" i="2" s="1"/>
  <c r="G74" i="2" l="1"/>
  <c r="H74" i="2" s="1"/>
  <c r="AA74" i="1"/>
  <c r="AB74" i="1" s="1"/>
  <c r="Q74" i="1"/>
  <c r="R74" i="1" s="1"/>
  <c r="G74" i="1"/>
  <c r="H74" i="1" s="1"/>
  <c r="AA73" i="1" l="1"/>
  <c r="AB73" i="1" s="1"/>
  <c r="Q73" i="1"/>
  <c r="R73" i="1" s="1"/>
  <c r="G73" i="1"/>
  <c r="H73" i="1" s="1"/>
  <c r="G73" i="2"/>
  <c r="H73" i="2" s="1"/>
  <c r="G72" i="2" l="1"/>
  <c r="H72" i="2" s="1"/>
  <c r="AA72" i="1"/>
  <c r="AB72" i="1" s="1"/>
  <c r="Q72" i="1"/>
  <c r="R72" i="1" s="1"/>
  <c r="G72" i="1"/>
  <c r="H72" i="1" s="1"/>
  <c r="AA71" i="1" l="1"/>
  <c r="AB71" i="1" s="1"/>
  <c r="Q71" i="1"/>
  <c r="R71" i="1" s="1"/>
  <c r="G71" i="1"/>
  <c r="H71" i="1" s="1"/>
  <c r="G71" i="2"/>
  <c r="H71" i="2" s="1"/>
  <c r="G70" i="2" l="1"/>
  <c r="H70" i="2" s="1"/>
  <c r="AA70" i="1"/>
  <c r="AB70" i="1" s="1"/>
  <c r="Q70" i="1"/>
  <c r="R70" i="1" s="1"/>
  <c r="G70" i="1"/>
  <c r="H70" i="1" s="1"/>
  <c r="AA69" i="1" l="1"/>
  <c r="AB69" i="1" s="1"/>
  <c r="Q69" i="1"/>
  <c r="R69" i="1" s="1"/>
  <c r="G69" i="1"/>
  <c r="H69" i="1" s="1"/>
  <c r="G69" i="2"/>
  <c r="H69" i="2" s="1"/>
  <c r="G68" i="2" l="1"/>
  <c r="H68" i="2" s="1"/>
  <c r="AA68" i="1"/>
  <c r="AB68" i="1" s="1"/>
  <c r="Q68" i="1"/>
  <c r="R68" i="1" s="1"/>
  <c r="G68" i="1"/>
  <c r="H68" i="1" s="1"/>
  <c r="G67" i="2" l="1"/>
  <c r="H67" i="2" s="1"/>
  <c r="AA67" i="1"/>
  <c r="AB67" i="1" s="1"/>
  <c r="Q67" i="1"/>
  <c r="R67" i="1" s="1"/>
  <c r="G67" i="1"/>
  <c r="H67" i="1" s="1"/>
  <c r="G66" i="2" l="1"/>
  <c r="H66" i="2" s="1"/>
  <c r="AA66" i="1"/>
  <c r="AB66" i="1" s="1"/>
  <c r="Q66" i="1"/>
  <c r="R66" i="1" s="1"/>
  <c r="G66" i="1"/>
  <c r="H66" i="1" s="1"/>
  <c r="G65" i="2" l="1"/>
  <c r="H65" i="2" s="1"/>
  <c r="AA65" i="1"/>
  <c r="AB65" i="1" s="1"/>
  <c r="Q65" i="1"/>
  <c r="R65" i="1" s="1"/>
  <c r="G65" i="1"/>
  <c r="H65" i="1" s="1"/>
  <c r="G64" i="2" l="1"/>
  <c r="H64" i="2" s="1"/>
  <c r="AA64" i="1"/>
  <c r="AB64" i="1" s="1"/>
  <c r="Q64" i="1"/>
  <c r="R64" i="1" s="1"/>
  <c r="G64" i="1"/>
  <c r="H64" i="1" s="1"/>
  <c r="G63" i="2" l="1"/>
  <c r="H63" i="2" s="1"/>
  <c r="AA63" i="1"/>
  <c r="AB63" i="1" s="1"/>
  <c r="Q63" i="1"/>
  <c r="R63" i="1" s="1"/>
  <c r="G63" i="1"/>
  <c r="H63" i="1" s="1"/>
  <c r="AA62" i="1" l="1"/>
  <c r="AB62" i="1" s="1"/>
  <c r="Q62" i="1"/>
  <c r="R62" i="1" s="1"/>
  <c r="G62" i="1"/>
  <c r="H62" i="1" s="1"/>
  <c r="G62" i="2"/>
  <c r="H62" i="2" s="1"/>
  <c r="G61" i="2" l="1"/>
  <c r="H61" i="2" s="1"/>
  <c r="AA61" i="1"/>
  <c r="AB61" i="1" s="1"/>
  <c r="Q61" i="1"/>
  <c r="R61" i="1" s="1"/>
  <c r="G61" i="1"/>
  <c r="H61" i="1" s="1"/>
  <c r="G60" i="2" l="1"/>
  <c r="H60" i="2" s="1"/>
  <c r="AA60" i="1"/>
  <c r="AB60" i="1" s="1"/>
  <c r="Q60" i="1"/>
  <c r="R60" i="1" s="1"/>
  <c r="G60" i="1"/>
  <c r="H60" i="1" s="1"/>
  <c r="G59" i="2" l="1"/>
  <c r="H59" i="2" s="1"/>
  <c r="AA59" i="1"/>
  <c r="AB59" i="1" s="1"/>
  <c r="Q59" i="1"/>
  <c r="R59" i="1" s="1"/>
  <c r="G59" i="1"/>
  <c r="H59" i="1" s="1"/>
  <c r="G58" i="2" l="1"/>
  <c r="H58" i="2" s="1"/>
  <c r="AA58" i="1"/>
  <c r="AB58" i="1" s="1"/>
  <c r="Q58" i="1"/>
  <c r="R58" i="1" s="1"/>
  <c r="G58" i="1"/>
  <c r="H58" i="1" s="1"/>
  <c r="G57" i="2" l="1"/>
  <c r="H57" i="2" s="1"/>
  <c r="AA57" i="1"/>
  <c r="AB57" i="1" s="1"/>
  <c r="Q57" i="1"/>
  <c r="R57" i="1" s="1"/>
  <c r="G57" i="1"/>
  <c r="H57" i="1" s="1"/>
  <c r="G56" i="2" l="1"/>
  <c r="H56" i="2" s="1"/>
  <c r="AA56" i="1"/>
  <c r="AB56" i="1" s="1"/>
  <c r="Q56" i="1"/>
  <c r="R56" i="1" s="1"/>
  <c r="G56" i="1"/>
  <c r="H56" i="1" s="1"/>
  <c r="AA55" i="1" l="1"/>
  <c r="AB55" i="1" s="1"/>
  <c r="Q55" i="1"/>
  <c r="R55" i="1" s="1"/>
  <c r="G55" i="1"/>
  <c r="H55" i="1" s="1"/>
  <c r="G55" i="2"/>
  <c r="H55" i="2" s="1"/>
  <c r="G54" i="2" l="1"/>
  <c r="H54" i="2" s="1"/>
  <c r="AA54" i="1"/>
  <c r="AB54" i="1" s="1"/>
  <c r="Q54" i="1"/>
  <c r="R54" i="1" s="1"/>
  <c r="G54" i="1"/>
  <c r="H54" i="1" s="1"/>
  <c r="G53" i="2" l="1"/>
  <c r="H53" i="2" s="1"/>
  <c r="AA53" i="1"/>
  <c r="AB53" i="1" s="1"/>
  <c r="Q53" i="1"/>
  <c r="R53" i="1" s="1"/>
  <c r="G53" i="1"/>
  <c r="H53" i="1" s="1"/>
  <c r="AA52" i="1" l="1"/>
  <c r="AB52" i="1" s="1"/>
  <c r="Q52" i="1"/>
  <c r="R52" i="1" s="1"/>
  <c r="G52" i="1"/>
  <c r="H52" i="1" s="1"/>
  <c r="G52" i="2"/>
  <c r="H52" i="2" s="1"/>
  <c r="G51" i="2" l="1"/>
  <c r="H51" i="2" s="1"/>
  <c r="AA51" i="1"/>
  <c r="AB51" i="1" s="1"/>
  <c r="Q51" i="1"/>
  <c r="R51" i="1" s="1"/>
  <c r="G51" i="1"/>
  <c r="H51" i="1" s="1"/>
  <c r="AA50" i="1" l="1"/>
  <c r="AB50" i="1" s="1"/>
  <c r="Q50" i="1"/>
  <c r="R50" i="1" s="1"/>
  <c r="G50" i="1"/>
  <c r="H50" i="1" s="1"/>
  <c r="G50" i="2"/>
  <c r="H50" i="2" s="1"/>
  <c r="H49" i="2" l="1"/>
  <c r="AA49" i="1"/>
  <c r="AB49" i="1" s="1"/>
  <c r="Q49" i="1"/>
  <c r="R49" i="1" s="1"/>
  <c r="G49" i="1"/>
  <c r="H49" i="1" s="1"/>
  <c r="AA48" i="1" l="1"/>
  <c r="AB48" i="1" s="1"/>
  <c r="Q48" i="1"/>
  <c r="R48" i="1" s="1"/>
  <c r="G48" i="1"/>
  <c r="H48" i="1" s="1"/>
  <c r="G48" i="2"/>
  <c r="H48" i="2" s="1"/>
  <c r="G47" i="2" l="1"/>
  <c r="H47" i="2" s="1"/>
  <c r="AA47" i="1"/>
  <c r="AB47" i="1" s="1"/>
  <c r="Q47" i="1"/>
  <c r="R47" i="1" s="1"/>
  <c r="G47" i="1"/>
  <c r="H47" i="1" s="1"/>
  <c r="AA46" i="1" l="1"/>
  <c r="AB46" i="1" s="1"/>
  <c r="Q46" i="1"/>
  <c r="R46" i="1" s="1"/>
  <c r="G46" i="1"/>
  <c r="H46" i="1" s="1"/>
  <c r="G46" i="2"/>
  <c r="H46" i="2" s="1"/>
  <c r="G45" i="2" l="1"/>
  <c r="H45" i="2" s="1"/>
  <c r="AA45" i="1"/>
  <c r="AB45" i="1" s="1"/>
  <c r="Q45" i="1"/>
  <c r="R45" i="1" s="1"/>
  <c r="G45" i="1"/>
  <c r="H45" i="1" s="1"/>
  <c r="G44" i="2" l="1"/>
  <c r="H44" i="2" s="1"/>
  <c r="AA44" i="1"/>
  <c r="AB44" i="1" s="1"/>
  <c r="Q44" i="1"/>
  <c r="R44" i="1" s="1"/>
  <c r="G44" i="1"/>
  <c r="H44" i="1" s="1"/>
  <c r="G43" i="2" l="1"/>
  <c r="H43" i="2" s="1"/>
  <c r="AA43" i="1"/>
  <c r="AB43" i="1" s="1"/>
  <c r="Q43" i="1"/>
  <c r="R43" i="1" s="1"/>
  <c r="G43" i="1"/>
  <c r="H43" i="1" s="1"/>
  <c r="G42" i="2" l="1"/>
  <c r="H42" i="2" s="1"/>
  <c r="AA42" i="1" l="1"/>
  <c r="AB42" i="1" s="1"/>
  <c r="Q42" i="1"/>
  <c r="R42" i="1" s="1"/>
  <c r="G42" i="1"/>
  <c r="H42" i="1" s="1"/>
  <c r="G41" i="2" l="1"/>
  <c r="H41" i="2" s="1"/>
  <c r="AA41" i="1"/>
  <c r="AB41" i="1" s="1"/>
  <c r="Q41" i="1"/>
  <c r="R41" i="1" s="1"/>
  <c r="G41" i="1"/>
  <c r="H41" i="1" s="1"/>
  <c r="G40" i="2" l="1"/>
  <c r="H40" i="2" s="1"/>
  <c r="AA40" i="1"/>
  <c r="AB40" i="1" s="1"/>
  <c r="Q40" i="1"/>
  <c r="R40" i="1" s="1"/>
  <c r="G40" i="1"/>
  <c r="H40" i="1" s="1"/>
  <c r="G39" i="2" l="1"/>
  <c r="H39" i="2" s="1"/>
  <c r="AA39" i="1"/>
  <c r="AB39" i="1" s="1"/>
  <c r="Q39" i="1"/>
  <c r="R39" i="1" s="1"/>
  <c r="G39" i="1"/>
  <c r="H39" i="1" s="1"/>
  <c r="G38" i="2"/>
  <c r="H38" i="2" s="1"/>
  <c r="AA38" i="1"/>
  <c r="AB38" i="1" s="1"/>
  <c r="Q38" i="1"/>
  <c r="R38" i="1" s="1"/>
  <c r="G38" i="1"/>
  <c r="H38" i="1" s="1"/>
  <c r="G11" i="2" l="1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G4" i="2"/>
  <c r="H4" i="2" s="1"/>
  <c r="G3" i="2"/>
  <c r="H3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35" i="2"/>
  <c r="H35" i="2" s="1"/>
  <c r="G36" i="2"/>
  <c r="H36" i="2" s="1"/>
  <c r="G37" i="2"/>
  <c r="H37" i="2" s="1"/>
  <c r="AA3" i="1"/>
  <c r="AB3" i="1" s="1"/>
  <c r="Q3" i="1"/>
  <c r="R3" i="1" s="1"/>
  <c r="G3" i="1"/>
  <c r="H3" i="1" s="1"/>
  <c r="AA4" i="1"/>
  <c r="AB4" i="1" s="1"/>
  <c r="Q4" i="1"/>
  <c r="G4" i="1"/>
  <c r="H4" i="1" s="1"/>
  <c r="AA5" i="1"/>
  <c r="AB5" i="1" s="1"/>
  <c r="Q5" i="1"/>
  <c r="G5" i="1"/>
  <c r="H5" i="1" s="1"/>
  <c r="AA6" i="1"/>
  <c r="AB6" i="1" s="1"/>
  <c r="Q6" i="1"/>
  <c r="G6" i="1"/>
  <c r="H6" i="1" s="1"/>
  <c r="AA7" i="1"/>
  <c r="AB7" i="1" s="1"/>
  <c r="Q7" i="1"/>
  <c r="G7" i="1"/>
  <c r="H7" i="1" s="1"/>
  <c r="AA8" i="1"/>
  <c r="AB8" i="1" s="1"/>
  <c r="Q8" i="1"/>
  <c r="G8" i="1"/>
  <c r="H8" i="1" s="1"/>
  <c r="AA9" i="1"/>
  <c r="AB9" i="1" s="1"/>
  <c r="Q9" i="1"/>
  <c r="G9" i="1"/>
  <c r="H9" i="1" s="1"/>
  <c r="AA10" i="1"/>
  <c r="AB10" i="1" s="1"/>
  <c r="Q10" i="1"/>
  <c r="G10" i="1"/>
  <c r="H10" i="1" s="1"/>
  <c r="AA11" i="1"/>
  <c r="AB11" i="1" s="1"/>
  <c r="Q11" i="1"/>
  <c r="G11" i="1"/>
  <c r="H11" i="1" s="1"/>
  <c r="AA12" i="1"/>
  <c r="AB12" i="1" s="1"/>
  <c r="Q12" i="1"/>
  <c r="G12" i="1"/>
  <c r="H12" i="1" s="1"/>
  <c r="AA13" i="1"/>
  <c r="AB13" i="1" s="1"/>
  <c r="Q13" i="1"/>
  <c r="G13" i="1"/>
  <c r="H13" i="1" s="1"/>
  <c r="AA14" i="1"/>
  <c r="AB14" i="1" s="1"/>
  <c r="Q14" i="1"/>
  <c r="G14" i="1"/>
  <c r="H14" i="1" s="1"/>
  <c r="AA15" i="1"/>
  <c r="AB15" i="1" s="1"/>
  <c r="Q15" i="1"/>
  <c r="G15" i="1"/>
  <c r="H15" i="1" s="1"/>
  <c r="AA16" i="1"/>
  <c r="AB16" i="1" s="1"/>
  <c r="Q16" i="1"/>
  <c r="G16" i="1"/>
  <c r="H16" i="1" s="1"/>
  <c r="AA17" i="1"/>
  <c r="AB17" i="1" s="1"/>
  <c r="Q17" i="1"/>
  <c r="G17" i="1"/>
  <c r="H17" i="1" s="1"/>
  <c r="AA18" i="1"/>
  <c r="AB18" i="1" s="1"/>
  <c r="Q18" i="1"/>
  <c r="G18" i="1"/>
  <c r="H18" i="1" s="1"/>
  <c r="AA19" i="1"/>
  <c r="AB19" i="1" s="1"/>
  <c r="Q19" i="1"/>
  <c r="G19" i="1"/>
  <c r="H19" i="1" s="1"/>
  <c r="AA20" i="1"/>
  <c r="AB20" i="1" s="1"/>
  <c r="Q20" i="1"/>
  <c r="G20" i="1"/>
  <c r="H20" i="1" s="1"/>
  <c r="AA21" i="1"/>
  <c r="AB21" i="1" s="1"/>
  <c r="Q21" i="1"/>
  <c r="G21" i="1"/>
  <c r="H21" i="1" s="1"/>
  <c r="AA22" i="1"/>
  <c r="AB22" i="1" s="1"/>
  <c r="Q22" i="1"/>
  <c r="G22" i="1"/>
  <c r="H22" i="1" s="1"/>
  <c r="AA23" i="1"/>
  <c r="AB23" i="1" s="1"/>
  <c r="Q23" i="1"/>
  <c r="G23" i="1"/>
  <c r="H23" i="1" s="1"/>
  <c r="AA24" i="1"/>
  <c r="AB24" i="1" s="1"/>
  <c r="Q24" i="1"/>
  <c r="G24" i="1"/>
  <c r="H24" i="1" s="1"/>
  <c r="AA25" i="1"/>
  <c r="AB25" i="1" s="1"/>
  <c r="Q25" i="1"/>
  <c r="G25" i="1"/>
  <c r="H25" i="1" s="1"/>
  <c r="AA26" i="1"/>
  <c r="AB26" i="1" s="1"/>
  <c r="Q26" i="1"/>
  <c r="G26" i="1"/>
  <c r="H26" i="1" s="1"/>
  <c r="AA27" i="1"/>
  <c r="AB27" i="1" s="1"/>
  <c r="Q27" i="1"/>
  <c r="G27" i="1"/>
  <c r="H27" i="1" s="1"/>
  <c r="AA28" i="1"/>
  <c r="AB28" i="1" s="1"/>
  <c r="Q28" i="1"/>
  <c r="G28" i="1"/>
  <c r="H28" i="1" s="1"/>
  <c r="AA29" i="1"/>
  <c r="AB29" i="1" s="1"/>
  <c r="Q29" i="1"/>
  <c r="G29" i="1"/>
  <c r="H29" i="1" s="1"/>
  <c r="AA30" i="1"/>
  <c r="AB30" i="1" s="1"/>
  <c r="Q30" i="1"/>
  <c r="G30" i="1"/>
  <c r="H30" i="1" s="1"/>
  <c r="AA31" i="1"/>
  <c r="AB31" i="1" s="1"/>
  <c r="Q31" i="1"/>
  <c r="G31" i="1"/>
  <c r="H31" i="1" s="1"/>
  <c r="AA32" i="1"/>
  <c r="AB32" i="1" s="1"/>
  <c r="Q32" i="1"/>
  <c r="AA33" i="1"/>
  <c r="AB33" i="1" s="1"/>
  <c r="Q33" i="1"/>
  <c r="G33" i="1"/>
  <c r="H33" i="1" s="1"/>
  <c r="G32" i="1"/>
  <c r="H32" i="1" s="1"/>
  <c r="R4" i="1" l="1"/>
  <c r="R5" i="1"/>
  <c r="R11" i="1"/>
  <c r="AA34" i="1"/>
  <c r="AB34" i="1" s="1"/>
  <c r="Q34" i="1"/>
  <c r="G34" i="1"/>
  <c r="H34" i="1" s="1"/>
  <c r="AA35" i="1"/>
  <c r="AB35" i="1" s="1"/>
  <c r="AA37" i="1"/>
  <c r="AB37" i="1" s="1"/>
  <c r="AA36" i="1"/>
  <c r="AB36" i="1" s="1"/>
  <c r="Q37" i="1"/>
  <c r="R37" i="1" s="1"/>
  <c r="Q36" i="1"/>
  <c r="Q35" i="1"/>
  <c r="G37" i="1"/>
  <c r="H37" i="1" s="1"/>
  <c r="G36" i="1"/>
  <c r="G35" i="1"/>
  <c r="H35" i="1" s="1"/>
  <c r="R9" i="1" l="1"/>
  <c r="R7" i="1"/>
  <c r="R6" i="1"/>
  <c r="R8" i="1"/>
  <c r="R10" i="1"/>
  <c r="H36" i="1"/>
  <c r="R12" i="1" l="1"/>
  <c r="R14" i="1" l="1"/>
  <c r="R13" i="1"/>
  <c r="R15" i="1" l="1"/>
  <c r="R16" i="1"/>
  <c r="R17" i="1" l="1"/>
  <c r="R18" i="1" l="1"/>
  <c r="R19" i="1" l="1"/>
  <c r="R20" i="1" l="1"/>
  <c r="R21" i="1" l="1"/>
  <c r="R22" i="1" l="1"/>
  <c r="R23" i="1" l="1"/>
  <c r="R24" i="1" l="1"/>
  <c r="R25" i="1" l="1"/>
  <c r="R26" i="1" l="1"/>
  <c r="R27" i="1" l="1"/>
  <c r="R28" i="1" l="1"/>
  <c r="R29" i="1" l="1"/>
  <c r="R30" i="1" l="1"/>
  <c r="R31" i="1" l="1"/>
  <c r="R32" i="1" l="1"/>
  <c r="R33" i="1" l="1"/>
  <c r="R34" i="1" l="1"/>
  <c r="R36" i="1" l="1"/>
  <c r="R35" i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Occupancy Mei-Juni 19.xlsx!Table1" type="102" refreshedVersion="5" minRefreshableVersion="5">
    <extLst>
      <ext xmlns:x15="http://schemas.microsoft.com/office/spreadsheetml/2010/11/main" uri="{DE250136-89BD-433C-8126-D09CA5730AF9}">
        <x15:connection id="Table1-bc921c72-251f-437a-9303-41b4c74ab4d7" autoDelete="1">
          <x15:rangePr sourceName="_xlcn.WorksheetConnection_OccupancyMeiJuni19.xlsxTable11"/>
        </x15:connection>
      </ext>
    </extLst>
  </connection>
  <connection id="3" name="WorksheetConnection_Occupancy Mei-Juni 19.xlsx!Table13" type="102" refreshedVersion="5" minRefreshableVersion="5">
    <extLst>
      <ext xmlns:x15="http://schemas.microsoft.com/office/spreadsheetml/2010/11/main" uri="{DE250136-89BD-433C-8126-D09CA5730AF9}">
        <x15:connection id="Table13-649a82bf-86bf-43d2-aa93-1f8a1460b6a4" autoDelete="1">
          <x15:rangePr sourceName="_xlcn.WorksheetConnection_OccupancyMeiJuni19.xlsxTable131"/>
        </x15:connection>
      </ext>
    </extLst>
  </connection>
  <connection id="4" name="WorksheetConnection_Occupancy Mei-Juni 19.xlsx!Table1345" type="102" refreshedVersion="5" minRefreshableVersion="5">
    <extLst>
      <ext xmlns:x15="http://schemas.microsoft.com/office/spreadsheetml/2010/11/main" uri="{DE250136-89BD-433C-8126-D09CA5730AF9}">
        <x15:connection id="Table1345-70601b00-6ed3-4a67-adeb-cd27b8e4e609" autoDelete="1">
          <x15:rangePr sourceName="_xlcn.WorksheetConnection_OccupancyMeiJuni19.xlsxTable13451"/>
        </x15:connection>
      </ext>
    </extLst>
  </connection>
  <connection id="5" name="WorksheetConnection_Occupancy Mei-Juni 19.xlsx!Table7" type="102" refreshedVersion="5" minRefreshableVersion="5">
    <extLst>
      <ext xmlns:x15="http://schemas.microsoft.com/office/spreadsheetml/2010/11/main" uri="{DE250136-89BD-433C-8126-D09CA5730AF9}">
        <x15:connection id="Table7-8f93fb62-8b62-45ba-b9e6-4ed3562495d9" autoDelete="1">
          <x15:rangePr sourceName="_xlcn.WorksheetConnection_OccupancyMeiJuni19.xlsxTable71"/>
        </x15:connection>
      </ext>
    </extLst>
  </connection>
</connections>
</file>

<file path=xl/sharedStrings.xml><?xml version="1.0" encoding="utf-8"?>
<sst xmlns="http://schemas.openxmlformats.org/spreadsheetml/2006/main" count="692" uniqueCount="14">
  <si>
    <t>Tanggal</t>
  </si>
  <si>
    <t>Qty Lokasi</t>
  </si>
  <si>
    <t>Terpakai</t>
  </si>
  <si>
    <t>Staging</t>
  </si>
  <si>
    <t>Occupancy</t>
  </si>
  <si>
    <t>Empty</t>
  </si>
  <si>
    <t>Max</t>
  </si>
  <si>
    <t>Available</t>
  </si>
  <si>
    <t>Owner</t>
  </si>
  <si>
    <t>SAI-T</t>
  </si>
  <si>
    <t>SAI-B</t>
  </si>
  <si>
    <t>Lokal</t>
  </si>
  <si>
    <t>JAI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</si>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</sst>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3"/>
      <charset val="128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>
      <alignment vertical="center"/>
    </xf>
  </cellStyleXfs>
  <cellXfs count="30">
    <xf numFmtId="0" fontId="0" fillId="0" borderId="0" xfId="0"/>
    <xf numFmtId="15" fontId="0" fillId="0" borderId="0" xfId="0" applyNumberFormat="1" applyFont="1" applyFill="1" applyBorder="1"/>
    <xf numFmtId="164" fontId="1" fillId="0" borderId="0" xfId="1" applyNumberFormat="1" applyFont="1" applyFill="1" applyBorder="1"/>
    <xf numFmtId="0" fontId="0" fillId="0" borderId="0" xfId="0" applyFont="1" applyFill="1" applyBorder="1"/>
    <xf numFmtId="15" fontId="2" fillId="0" borderId="0" xfId="0" applyNumberFormat="1" applyFont="1" applyFill="1" applyBorder="1"/>
    <xf numFmtId="0" fontId="2" fillId="0" borderId="0" xfId="0" applyFont="1" applyFill="1" applyBorder="1"/>
    <xf numFmtId="164" fontId="2" fillId="0" borderId="0" xfId="1" applyNumberFormat="1" applyFont="1" applyFill="1" applyBorder="1"/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0" fontId="6" fillId="0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64" fontId="0" fillId="0" borderId="0" xfId="1" applyNumberFormat="1" applyFont="1" applyFill="1" applyBorder="1" applyAlignment="1">
      <alignment vertical="center"/>
    </xf>
    <xf numFmtId="164" fontId="1" fillId="0" borderId="0" xfId="1" applyNumberFormat="1" applyFont="1" applyFill="1" applyBorder="1" applyAlignment="1">
      <alignment vertical="center"/>
    </xf>
    <xf numFmtId="15" fontId="0" fillId="0" borderId="0" xfId="0" applyNumberFormat="1" applyFont="1" applyFill="1" applyBorder="1" applyAlignment="1">
      <alignment vertical="center"/>
    </xf>
    <xf numFmtId="164" fontId="0" fillId="0" borderId="0" xfId="1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1" applyNumberFormat="1" applyFont="1" applyAlignment="1">
      <alignment horizontal="center"/>
    </xf>
    <xf numFmtId="0" fontId="7" fillId="0" borderId="0" xfId="0" applyFont="1" applyFill="1" applyBorder="1"/>
    <xf numFmtId="164" fontId="7" fillId="0" borderId="0" xfId="1" applyNumberFormat="1" applyFont="1" applyFill="1" applyBorder="1"/>
    <xf numFmtId="0" fontId="8" fillId="0" borderId="0" xfId="0" applyFont="1" applyFill="1" applyBorder="1"/>
    <xf numFmtId="164" fontId="8" fillId="0" borderId="0" xfId="1" applyNumberFormat="1" applyFont="1" applyFill="1" applyBorder="1"/>
  </cellXfs>
  <cellStyles count="3">
    <cellStyle name="Normal" xfId="0" builtinId="0"/>
    <cellStyle name="Normal 2" xfId="2"/>
    <cellStyle name="Percent" xfId="1" builtinId="5"/>
  </cellStyles>
  <dxfs count="55">
    <dxf>
      <font>
        <b val="0"/>
      </font>
      <numFmt numFmtId="164" formatCode="0.0%"/>
      <fill>
        <patternFill patternType="none">
          <bgColor auto="1"/>
        </patternFill>
      </fill>
    </dxf>
    <dxf>
      <font>
        <b val="0"/>
      </font>
      <numFmt numFmtId="164" formatCode="0.0%"/>
      <fill>
        <patternFill patternType="none">
          <bgColor auto="1"/>
        </patternFill>
      </fill>
    </dxf>
    <dxf>
      <font>
        <b val="0"/>
      </font>
      <numFmt numFmtId="164" formatCode="0.0%"/>
      <fill>
        <patternFill patternType="none">
          <bgColor auto="1"/>
        </patternFill>
      </fill>
    </dxf>
    <dxf>
      <font>
        <b val="0"/>
      </font>
      <fill>
        <patternFill patternType="none">
          <bgColor auto="1"/>
        </patternFill>
      </fill>
      <alignment horizontal="center" textRotation="0" wrapText="0" indent="0" justifyLastLine="0" shrinkToFit="0" readingOrder="0"/>
    </dxf>
    <dxf>
      <font>
        <b val="0"/>
      </font>
      <fill>
        <patternFill patternType="none">
          <bgColor auto="1"/>
        </patternFill>
      </fill>
    </dxf>
    <dxf>
      <font>
        <b val="0"/>
      </font>
      <fill>
        <patternFill patternType="none">
          <bgColor auto="1"/>
        </patternFill>
      </fill>
    </dxf>
    <dxf>
      <font>
        <b val="0"/>
      </font>
      <fill>
        <patternFill patternType="none">
          <bgColor auto="1"/>
        </patternFill>
      </fill>
    </dxf>
    <dxf>
      <font>
        <b val="0"/>
      </font>
      <numFmt numFmtId="20" formatCode="dd\-mmm\-yy"/>
      <fill>
        <patternFill patternType="none">
          <bgColor auto="1"/>
        </patternFill>
      </fill>
    </dxf>
    <dxf>
      <font>
        <b val="0"/>
      </font>
      <numFmt numFmtId="20" formatCode="dd\-mmm\-yy"/>
      <fill>
        <patternFill patternType="none">
          <bgColor auto="1"/>
        </patternFill>
      </fill>
    </dxf>
    <dxf>
      <border outline="0">
        <top style="thin">
          <color indexed="64"/>
        </top>
      </border>
    </dxf>
    <dxf>
      <font>
        <b val="0"/>
      </font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theme="1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</font>
      <numFmt numFmtId="164" formatCode="0.0%"/>
      <fill>
        <patternFill patternType="none">
          <fgColor indexed="64"/>
          <bgColor auto="1"/>
        </patternFill>
      </fill>
    </dxf>
    <dxf>
      <font>
        <b val="0"/>
      </font>
      <numFmt numFmtId="164" formatCode="0.0%"/>
      <fill>
        <patternFill patternType="none">
          <fgColor indexed="64"/>
          <bgColor auto="1"/>
        </patternFill>
      </fill>
    </dxf>
    <dxf>
      <font>
        <b val="0"/>
      </font>
      <numFmt numFmtId="164" formatCode="0.0%"/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numFmt numFmtId="20" formatCode="dd\-mmm\-yy"/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font>
        <b val="0"/>
      </font>
      <numFmt numFmtId="164" formatCode="0.0%"/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0.0%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</font>
      <numFmt numFmtId="164" formatCode="0.0%"/>
      <fill>
        <patternFill patternType="none">
          <fgColor indexed="64"/>
          <bgColor auto="1"/>
        </patternFill>
      </fill>
    </dxf>
    <dxf>
      <font>
        <b val="0"/>
      </font>
      <numFmt numFmtId="164" formatCode="0.0%"/>
      <fill>
        <patternFill patternType="none">
          <fgColor indexed="64"/>
          <bgColor auto="1"/>
        </patternFill>
      </fill>
    </dxf>
    <dxf>
      <font>
        <b val="0"/>
      </font>
      <numFmt numFmtId="164" formatCode="0.0%"/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numFmt numFmtId="20" formatCode="dd\-mmm\-yy"/>
      <fill>
        <patternFill patternType="none">
          <fgColor indexed="64"/>
          <bgColor auto="1"/>
        </patternFill>
      </fill>
    </dxf>
    <dxf>
      <font>
        <b val="0"/>
      </font>
      <numFmt numFmtId="20" formatCode="dd\-mmm\-yy"/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font>
        <b val="0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</font>
      <numFmt numFmtId="164" formatCode="0.0%"/>
      <fill>
        <patternFill patternType="none">
          <fgColor indexed="64"/>
          <bgColor auto="1"/>
        </patternFill>
      </fill>
    </dxf>
    <dxf>
      <font>
        <b val="0"/>
      </font>
      <numFmt numFmtId="164" formatCode="0.0%"/>
      <fill>
        <patternFill patternType="none">
          <fgColor indexed="64"/>
          <bgColor auto="1"/>
        </patternFill>
      </fill>
    </dxf>
    <dxf>
      <font>
        <b val="0"/>
      </font>
      <numFmt numFmtId="164" formatCode="0.0%"/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numFmt numFmtId="20" formatCode="dd\-mmm\-yy"/>
      <fill>
        <patternFill patternType="none">
          <fgColor indexed="64"/>
          <bgColor auto="1"/>
        </patternFill>
      </fill>
    </dxf>
    <dxf>
      <font>
        <b val="0"/>
      </font>
      <numFmt numFmtId="20" formatCode="dd\-mmm\-yy"/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ivotTable" Target="pivotTables/pivotTable4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Table" Target="pivotTables/pivotTable3.xml"/><Relationship Id="rId5" Type="http://schemas.openxmlformats.org/officeDocument/2006/relationships/pivotCacheDefinition" Target="pivotCache/pivotCacheDefinition1.xml"/><Relationship Id="rId15" Type="http://schemas.openxmlformats.org/officeDocument/2006/relationships/styles" Target="styles.xml"/><Relationship Id="rId10" Type="http://schemas.openxmlformats.org/officeDocument/2006/relationships/pivotTable" Target="pivotTables/pivotTable2.xml"/><Relationship Id="rId4" Type="http://schemas.openxmlformats.org/officeDocument/2006/relationships/worksheet" Target="worksheets/sheet4.xml"/><Relationship Id="rId9" Type="http://schemas.openxmlformats.org/officeDocument/2006/relationships/pivotTable" Target="pivotTables/pivotTable1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Occupancy Mei-Juni</a:t>
            </a:r>
            <a:r>
              <a:rPr lang="en-GB" baseline="0"/>
              <a:t> 19 SAI-T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7751121929066664E-2"/>
          <c:y val="0.19054158519898828"/>
          <c:w val="0.94061270155879406"/>
          <c:h val="0.64225081846759124"/>
        </c:manualLayout>
      </c:layout>
      <c:lineChart>
        <c:grouping val="standard"/>
        <c:varyColors val="0"/>
        <c:ser>
          <c:idx val="0"/>
          <c:order val="0"/>
          <c:tx>
            <c:v>Capacity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Lit>
              <c:ptCount val="155"/>
              <c:pt idx="0">
                <c:v>02/05/2019</c:v>
              </c:pt>
              <c:pt idx="1">
                <c:v>03/05/2019</c:v>
              </c:pt>
              <c:pt idx="2">
                <c:v>04/05/2019</c:v>
              </c:pt>
              <c:pt idx="3">
                <c:v>06/05/2019</c:v>
              </c:pt>
              <c:pt idx="4">
                <c:v>07/05/2019</c:v>
              </c:pt>
              <c:pt idx="5">
                <c:v>08/05/2019</c:v>
              </c:pt>
              <c:pt idx="6">
                <c:v>09/05/2019</c:v>
              </c:pt>
              <c:pt idx="7">
                <c:v>10/05/2019</c:v>
              </c:pt>
              <c:pt idx="8">
                <c:v>13/05/2019</c:v>
              </c:pt>
              <c:pt idx="9">
                <c:v>14/05/2019</c:v>
              </c:pt>
              <c:pt idx="10">
                <c:v>15/05/2019</c:v>
              </c:pt>
              <c:pt idx="11">
                <c:v>16/05/2019</c:v>
              </c:pt>
              <c:pt idx="12">
                <c:v>17/05/2019</c:v>
              </c:pt>
              <c:pt idx="13">
                <c:v>18/05/2019</c:v>
              </c:pt>
              <c:pt idx="14">
                <c:v>20/05/2019</c:v>
              </c:pt>
              <c:pt idx="15">
                <c:v>21/05/2019</c:v>
              </c:pt>
              <c:pt idx="16">
                <c:v>22/05/2019</c:v>
              </c:pt>
              <c:pt idx="17">
                <c:v>23/05/2019</c:v>
              </c:pt>
              <c:pt idx="18">
                <c:v>24/05/2019</c:v>
              </c:pt>
              <c:pt idx="19">
                <c:v>25/05/2019</c:v>
              </c:pt>
              <c:pt idx="20">
                <c:v>27/05/2019</c:v>
              </c:pt>
              <c:pt idx="21">
                <c:v>28/05/2019</c:v>
              </c:pt>
              <c:pt idx="22">
                <c:v>29/05/2019</c:v>
              </c:pt>
              <c:pt idx="23">
                <c:v>30/05/2019</c:v>
              </c:pt>
              <c:pt idx="24">
                <c:v>11/06/2019</c:v>
              </c:pt>
              <c:pt idx="25">
                <c:v>12/06/2019</c:v>
              </c:pt>
              <c:pt idx="26">
                <c:v>13/06/2019</c:v>
              </c:pt>
              <c:pt idx="27">
                <c:v>14/06/2019</c:v>
              </c:pt>
              <c:pt idx="28">
                <c:v>15/06/2019</c:v>
              </c:pt>
              <c:pt idx="29">
                <c:v>17/06/2019</c:v>
              </c:pt>
              <c:pt idx="30">
                <c:v>18/06/2019</c:v>
              </c:pt>
              <c:pt idx="31">
                <c:v>19/06/2019</c:v>
              </c:pt>
              <c:pt idx="32">
                <c:v>20/06/2019</c:v>
              </c:pt>
              <c:pt idx="33">
                <c:v>21/06/2019</c:v>
              </c:pt>
              <c:pt idx="34">
                <c:v>24/06/2019</c:v>
              </c:pt>
              <c:pt idx="35">
                <c:v>25/06/2019</c:v>
              </c:pt>
              <c:pt idx="36">
                <c:v>26/06/2019</c:v>
              </c:pt>
              <c:pt idx="37">
                <c:v>27/06/2019</c:v>
              </c:pt>
              <c:pt idx="38">
                <c:v>28/06/2019</c:v>
              </c:pt>
              <c:pt idx="39">
                <c:v>01/07/2019</c:v>
              </c:pt>
              <c:pt idx="40">
                <c:v>02/07/2019</c:v>
              </c:pt>
              <c:pt idx="41">
                <c:v>03/07/2019</c:v>
              </c:pt>
              <c:pt idx="42">
                <c:v>04/07/2019</c:v>
              </c:pt>
              <c:pt idx="43">
                <c:v>05/07/2019</c:v>
              </c:pt>
              <c:pt idx="44">
                <c:v>08/07/2019</c:v>
              </c:pt>
              <c:pt idx="45">
                <c:v>09/07/2019</c:v>
              </c:pt>
              <c:pt idx="46">
                <c:v>10/07/2019</c:v>
              </c:pt>
              <c:pt idx="47">
                <c:v>11/07/2019</c:v>
              </c:pt>
              <c:pt idx="48">
                <c:v>12/07/2019</c:v>
              </c:pt>
              <c:pt idx="49">
                <c:v>15/07/2019</c:v>
              </c:pt>
              <c:pt idx="50">
                <c:v>16/07/2019</c:v>
              </c:pt>
              <c:pt idx="51">
                <c:v>17/07/2019</c:v>
              </c:pt>
              <c:pt idx="52">
                <c:v>18/07/2019</c:v>
              </c:pt>
              <c:pt idx="53">
                <c:v>19/07/2019</c:v>
              </c:pt>
              <c:pt idx="54">
                <c:v>22/07/2019</c:v>
              </c:pt>
              <c:pt idx="55">
                <c:v>23/07/2019</c:v>
              </c:pt>
              <c:pt idx="56">
                <c:v>24/07/2019</c:v>
              </c:pt>
              <c:pt idx="57">
                <c:v>25/07/2019</c:v>
              </c:pt>
              <c:pt idx="58">
                <c:v>26/07/2019</c:v>
              </c:pt>
              <c:pt idx="59">
                <c:v>29/07/2019</c:v>
              </c:pt>
              <c:pt idx="60">
                <c:v>30/07/2019</c:v>
              </c:pt>
              <c:pt idx="61">
                <c:v>31/07/2019</c:v>
              </c:pt>
              <c:pt idx="62">
                <c:v>01/08/2019</c:v>
              </c:pt>
              <c:pt idx="63">
                <c:v>02/08/2019</c:v>
              </c:pt>
              <c:pt idx="64">
                <c:v>05/08/2019</c:v>
              </c:pt>
              <c:pt idx="65">
                <c:v>06/08/2019</c:v>
              </c:pt>
              <c:pt idx="66">
                <c:v>07/08/2019</c:v>
              </c:pt>
              <c:pt idx="67">
                <c:v>08/08/2019</c:v>
              </c:pt>
              <c:pt idx="68">
                <c:v>09/08/2019</c:v>
              </c:pt>
              <c:pt idx="69">
                <c:v>13/08/2019</c:v>
              </c:pt>
              <c:pt idx="70">
                <c:v>14/08/2019</c:v>
              </c:pt>
              <c:pt idx="71">
                <c:v>15/08/2019</c:v>
              </c:pt>
              <c:pt idx="72">
                <c:v>16/08/2019</c:v>
              </c:pt>
              <c:pt idx="73">
                <c:v>19/08/2019</c:v>
              </c:pt>
              <c:pt idx="74">
                <c:v>20/08/2019</c:v>
              </c:pt>
              <c:pt idx="75">
                <c:v>21/08/2019</c:v>
              </c:pt>
              <c:pt idx="76">
                <c:v>22/08/2019</c:v>
              </c:pt>
              <c:pt idx="77">
                <c:v>23/08/2019</c:v>
              </c:pt>
              <c:pt idx="78">
                <c:v>26/08/2019</c:v>
              </c:pt>
              <c:pt idx="79">
                <c:v>27/08/2019</c:v>
              </c:pt>
              <c:pt idx="80">
                <c:v>28/08/2019</c:v>
              </c:pt>
              <c:pt idx="81">
                <c:v>29/08/2019</c:v>
              </c:pt>
              <c:pt idx="82">
                <c:v>02/09/2019</c:v>
              </c:pt>
              <c:pt idx="83">
                <c:v>03/09/2019</c:v>
              </c:pt>
              <c:pt idx="84">
                <c:v>04/09/2019</c:v>
              </c:pt>
              <c:pt idx="85">
                <c:v>05/09/2019</c:v>
              </c:pt>
              <c:pt idx="86">
                <c:v>06/09/2019</c:v>
              </c:pt>
              <c:pt idx="87">
                <c:v>09/09/2019</c:v>
              </c:pt>
              <c:pt idx="88">
                <c:v>10/09/2019</c:v>
              </c:pt>
              <c:pt idx="89">
                <c:v>11/09/2019</c:v>
              </c:pt>
              <c:pt idx="90">
                <c:v>12/09/2019</c:v>
              </c:pt>
              <c:pt idx="91">
                <c:v>13/09/2019</c:v>
              </c:pt>
              <c:pt idx="92">
                <c:v>16/09/2019</c:v>
              </c:pt>
              <c:pt idx="93">
                <c:v>17/09/2019</c:v>
              </c:pt>
              <c:pt idx="94">
                <c:v>18/09/2019</c:v>
              </c:pt>
              <c:pt idx="95">
                <c:v>19/09/2019</c:v>
              </c:pt>
              <c:pt idx="96">
                <c:v>20/09/2019</c:v>
              </c:pt>
              <c:pt idx="97">
                <c:v>23/09/2019</c:v>
              </c:pt>
              <c:pt idx="98">
                <c:v>24/09/2019</c:v>
              </c:pt>
              <c:pt idx="99">
                <c:v>25/09/2019</c:v>
              </c:pt>
              <c:pt idx="100">
                <c:v>26/09/2019</c:v>
              </c:pt>
              <c:pt idx="101">
                <c:v>27/09/2019</c:v>
              </c:pt>
              <c:pt idx="102">
                <c:v>30/09/2019</c:v>
              </c:pt>
              <c:pt idx="103">
                <c:v>01/10/2019</c:v>
              </c:pt>
              <c:pt idx="104">
                <c:v>02/10/2019</c:v>
              </c:pt>
              <c:pt idx="105">
                <c:v>03/10/2019</c:v>
              </c:pt>
              <c:pt idx="106">
                <c:v>04/10/2019</c:v>
              </c:pt>
              <c:pt idx="107">
                <c:v>10/10/2019</c:v>
              </c:pt>
              <c:pt idx="108">
                <c:v>11/10/2019</c:v>
              </c:pt>
              <c:pt idx="109">
                <c:v>14/10/2019</c:v>
              </c:pt>
              <c:pt idx="110">
                <c:v>15/10/2019</c:v>
              </c:pt>
              <c:pt idx="111">
                <c:v>16/10/2019</c:v>
              </c:pt>
              <c:pt idx="112">
                <c:v>17/10/2019</c:v>
              </c:pt>
              <c:pt idx="113">
                <c:v>18/10/2019</c:v>
              </c:pt>
              <c:pt idx="114">
                <c:v>21/10/2019</c:v>
              </c:pt>
              <c:pt idx="115">
                <c:v>22/10/2019</c:v>
              </c:pt>
              <c:pt idx="116">
                <c:v>23/10/2019</c:v>
              </c:pt>
              <c:pt idx="117">
                <c:v>24/10/2019</c:v>
              </c:pt>
              <c:pt idx="118">
                <c:v>25/10/2019</c:v>
              </c:pt>
              <c:pt idx="119">
                <c:v>28/10/2019</c:v>
              </c:pt>
              <c:pt idx="120">
                <c:v>29/10/2019</c:v>
              </c:pt>
              <c:pt idx="121">
                <c:v>30/10/2019</c:v>
              </c:pt>
              <c:pt idx="122">
                <c:v>31/10/2019</c:v>
              </c:pt>
              <c:pt idx="123">
                <c:v>01/11/2019</c:v>
              </c:pt>
              <c:pt idx="124">
                <c:v>04/11/2019</c:v>
              </c:pt>
              <c:pt idx="125">
                <c:v>05/11/2019</c:v>
              </c:pt>
              <c:pt idx="126">
                <c:v>06/11/2019</c:v>
              </c:pt>
              <c:pt idx="127">
                <c:v>07/11/2019</c:v>
              </c:pt>
              <c:pt idx="128">
                <c:v>08/11/2019</c:v>
              </c:pt>
              <c:pt idx="129">
                <c:v>11/11/2019</c:v>
              </c:pt>
              <c:pt idx="130">
                <c:v>12/11/2019</c:v>
              </c:pt>
              <c:pt idx="131">
                <c:v>13/11/2019</c:v>
              </c:pt>
              <c:pt idx="132">
                <c:v>14/11/2019</c:v>
              </c:pt>
              <c:pt idx="133">
                <c:v>15/11/2019</c:v>
              </c:pt>
              <c:pt idx="134">
                <c:v>18/11/2019</c:v>
              </c:pt>
              <c:pt idx="135">
                <c:v>19/11/2019</c:v>
              </c:pt>
              <c:pt idx="136">
                <c:v>20/11/2019</c:v>
              </c:pt>
              <c:pt idx="137">
                <c:v>21/11/2019</c:v>
              </c:pt>
              <c:pt idx="138">
                <c:v>22/11/2019</c:v>
              </c:pt>
              <c:pt idx="139">
                <c:v>25/11/2019</c:v>
              </c:pt>
              <c:pt idx="140">
                <c:v>26/11/2019</c:v>
              </c:pt>
              <c:pt idx="141">
                <c:v>27/11/2019</c:v>
              </c:pt>
              <c:pt idx="142">
                <c:v>28/11/2019</c:v>
              </c:pt>
              <c:pt idx="143">
                <c:v>29/11/2019</c:v>
              </c:pt>
              <c:pt idx="144">
                <c:v>02/12/2019</c:v>
              </c:pt>
              <c:pt idx="145">
                <c:v>03/12/2019</c:v>
              </c:pt>
              <c:pt idx="146">
                <c:v>04/12/2019</c:v>
              </c:pt>
              <c:pt idx="147">
                <c:v>05/12/2019</c:v>
              </c:pt>
              <c:pt idx="148">
                <c:v>06/12/2019</c:v>
              </c:pt>
              <c:pt idx="149">
                <c:v>09/12/2019</c:v>
              </c:pt>
              <c:pt idx="150">
                <c:v>10/12/2019</c:v>
              </c:pt>
              <c:pt idx="151">
                <c:v>11/12/2019</c:v>
              </c:pt>
              <c:pt idx="152">
                <c:v>12/12/2019</c:v>
              </c:pt>
              <c:pt idx="153">
                <c:v>13/12/2019</c:v>
              </c:pt>
              <c:pt idx="154">
                <c:v>16/12/2019</c:v>
              </c:pt>
            </c:strLit>
          </c:cat>
          <c:val>
            <c:numLit>
              <c:formatCode>General</c:formatCode>
              <c:ptCount val="15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  <c:pt idx="52">
                <c:v>1</c:v>
              </c:pt>
              <c:pt idx="53">
                <c:v>1</c:v>
              </c:pt>
              <c:pt idx="54">
                <c:v>1</c:v>
              </c:pt>
              <c:pt idx="55">
                <c:v>1</c:v>
              </c:pt>
              <c:pt idx="56">
                <c:v>1</c:v>
              </c:pt>
              <c:pt idx="57">
                <c:v>1</c:v>
              </c:pt>
              <c:pt idx="58">
                <c:v>1</c:v>
              </c:pt>
              <c:pt idx="59">
                <c:v>1</c:v>
              </c:pt>
              <c:pt idx="60">
                <c:v>1</c:v>
              </c:pt>
              <c:pt idx="61">
                <c:v>1</c:v>
              </c:pt>
              <c:pt idx="62">
                <c:v>1</c:v>
              </c:pt>
              <c:pt idx="63">
                <c:v>1</c:v>
              </c:pt>
              <c:pt idx="64">
                <c:v>1</c:v>
              </c:pt>
              <c:pt idx="65">
                <c:v>1</c:v>
              </c:pt>
              <c:pt idx="66">
                <c:v>1</c:v>
              </c:pt>
              <c:pt idx="67">
                <c:v>1</c:v>
              </c:pt>
              <c:pt idx="68">
                <c:v>1</c:v>
              </c:pt>
              <c:pt idx="69">
                <c:v>1</c:v>
              </c:pt>
              <c:pt idx="70">
                <c:v>1</c:v>
              </c:pt>
              <c:pt idx="71">
                <c:v>1</c:v>
              </c:pt>
              <c:pt idx="72">
                <c:v>1</c:v>
              </c:pt>
              <c:pt idx="73">
                <c:v>1</c:v>
              </c:pt>
              <c:pt idx="74">
                <c:v>1</c:v>
              </c:pt>
              <c:pt idx="75">
                <c:v>1</c:v>
              </c:pt>
              <c:pt idx="76">
                <c:v>1</c:v>
              </c:pt>
              <c:pt idx="77">
                <c:v>1</c:v>
              </c:pt>
              <c:pt idx="78">
                <c:v>1</c:v>
              </c:pt>
              <c:pt idx="79">
                <c:v>1</c:v>
              </c:pt>
              <c:pt idx="80">
                <c:v>1</c:v>
              </c:pt>
              <c:pt idx="81">
                <c:v>1</c:v>
              </c:pt>
              <c:pt idx="82">
                <c:v>1</c:v>
              </c:pt>
              <c:pt idx="83">
                <c:v>1</c:v>
              </c:pt>
              <c:pt idx="84">
                <c:v>1</c:v>
              </c:pt>
              <c:pt idx="85">
                <c:v>1</c:v>
              </c:pt>
              <c:pt idx="86">
                <c:v>1</c:v>
              </c:pt>
              <c:pt idx="87">
                <c:v>1</c:v>
              </c:pt>
              <c:pt idx="88">
                <c:v>1</c:v>
              </c:pt>
              <c:pt idx="89">
                <c:v>1</c:v>
              </c:pt>
              <c:pt idx="90">
                <c:v>1</c:v>
              </c:pt>
              <c:pt idx="91">
                <c:v>1</c:v>
              </c:pt>
              <c:pt idx="92">
                <c:v>1</c:v>
              </c:pt>
              <c:pt idx="93">
                <c:v>1</c:v>
              </c:pt>
              <c:pt idx="94">
                <c:v>1</c:v>
              </c:pt>
              <c:pt idx="95">
                <c:v>1</c:v>
              </c:pt>
              <c:pt idx="96">
                <c:v>1</c:v>
              </c:pt>
              <c:pt idx="97">
                <c:v>1</c:v>
              </c:pt>
              <c:pt idx="98">
                <c:v>1</c:v>
              </c:pt>
              <c:pt idx="99">
                <c:v>1</c:v>
              </c:pt>
              <c:pt idx="100">
                <c:v>1</c:v>
              </c:pt>
              <c:pt idx="101">
                <c:v>1</c:v>
              </c:pt>
              <c:pt idx="102">
                <c:v>1</c:v>
              </c:pt>
              <c:pt idx="103">
                <c:v>1</c:v>
              </c:pt>
              <c:pt idx="104">
                <c:v>1</c:v>
              </c:pt>
              <c:pt idx="105">
                <c:v>1</c:v>
              </c:pt>
              <c:pt idx="106">
                <c:v>1</c:v>
              </c:pt>
              <c:pt idx="107">
                <c:v>1</c:v>
              </c:pt>
              <c:pt idx="108">
                <c:v>1</c:v>
              </c:pt>
              <c:pt idx="109">
                <c:v>1</c:v>
              </c:pt>
              <c:pt idx="110">
                <c:v>1</c:v>
              </c:pt>
              <c:pt idx="111">
                <c:v>1</c:v>
              </c:pt>
              <c:pt idx="112">
                <c:v>1</c:v>
              </c:pt>
              <c:pt idx="113">
                <c:v>1</c:v>
              </c:pt>
              <c:pt idx="114">
                <c:v>1</c:v>
              </c:pt>
              <c:pt idx="115">
                <c:v>1</c:v>
              </c:pt>
              <c:pt idx="116">
                <c:v>1</c:v>
              </c:pt>
              <c:pt idx="117">
                <c:v>1</c:v>
              </c:pt>
              <c:pt idx="118">
                <c:v>1</c:v>
              </c:pt>
              <c:pt idx="119">
                <c:v>1</c:v>
              </c:pt>
              <c:pt idx="120">
                <c:v>1</c:v>
              </c:pt>
              <c:pt idx="121">
                <c:v>1</c:v>
              </c:pt>
              <c:pt idx="122">
                <c:v>1</c:v>
              </c:pt>
              <c:pt idx="123">
                <c:v>1</c:v>
              </c:pt>
              <c:pt idx="124">
                <c:v>1</c:v>
              </c:pt>
              <c:pt idx="125">
                <c:v>1</c:v>
              </c:pt>
              <c:pt idx="126">
                <c:v>1</c:v>
              </c:pt>
              <c:pt idx="127">
                <c:v>1</c:v>
              </c:pt>
              <c:pt idx="128">
                <c:v>1</c:v>
              </c:pt>
              <c:pt idx="129">
                <c:v>1</c:v>
              </c:pt>
              <c:pt idx="130">
                <c:v>1</c:v>
              </c:pt>
              <c:pt idx="131">
                <c:v>1</c:v>
              </c:pt>
              <c:pt idx="132">
                <c:v>1</c:v>
              </c:pt>
              <c:pt idx="133">
                <c:v>1</c:v>
              </c:pt>
              <c:pt idx="134">
                <c:v>1</c:v>
              </c:pt>
              <c:pt idx="135">
                <c:v>1</c:v>
              </c:pt>
              <c:pt idx="136">
                <c:v>1</c:v>
              </c:pt>
              <c:pt idx="137">
                <c:v>1</c:v>
              </c:pt>
              <c:pt idx="138">
                <c:v>1</c:v>
              </c:pt>
              <c:pt idx="139">
                <c:v>1</c:v>
              </c:pt>
              <c:pt idx="140">
                <c:v>1</c:v>
              </c:pt>
              <c:pt idx="141">
                <c:v>1</c:v>
              </c:pt>
              <c:pt idx="142">
                <c:v>1</c:v>
              </c:pt>
              <c:pt idx="143">
                <c:v>1</c:v>
              </c:pt>
              <c:pt idx="144">
                <c:v>1</c:v>
              </c:pt>
              <c:pt idx="145">
                <c:v>1</c:v>
              </c:pt>
              <c:pt idx="146">
                <c:v>1</c:v>
              </c:pt>
              <c:pt idx="147">
                <c:v>1</c:v>
              </c:pt>
              <c:pt idx="148">
                <c:v>1</c:v>
              </c:pt>
              <c:pt idx="149">
                <c:v>1</c:v>
              </c:pt>
              <c:pt idx="150">
                <c:v>1</c:v>
              </c:pt>
              <c:pt idx="151">
                <c:v>1</c:v>
              </c:pt>
              <c:pt idx="152">
                <c:v>1</c:v>
              </c:pt>
              <c:pt idx="153">
                <c:v>1</c:v>
              </c:pt>
              <c:pt idx="154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614-422B-9901-09A71D2CA90F}"/>
            </c:ext>
          </c:extLst>
        </c:ser>
        <c:ser>
          <c:idx val="1"/>
          <c:order val="1"/>
          <c:tx>
            <c:v>Occupancy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155"/>
              <c:pt idx="0">
                <c:v>02/05/2019</c:v>
              </c:pt>
              <c:pt idx="1">
                <c:v>03/05/2019</c:v>
              </c:pt>
              <c:pt idx="2">
                <c:v>04/05/2019</c:v>
              </c:pt>
              <c:pt idx="3">
                <c:v>06/05/2019</c:v>
              </c:pt>
              <c:pt idx="4">
                <c:v>07/05/2019</c:v>
              </c:pt>
              <c:pt idx="5">
                <c:v>08/05/2019</c:v>
              </c:pt>
              <c:pt idx="6">
                <c:v>09/05/2019</c:v>
              </c:pt>
              <c:pt idx="7">
                <c:v>10/05/2019</c:v>
              </c:pt>
              <c:pt idx="8">
                <c:v>13/05/2019</c:v>
              </c:pt>
              <c:pt idx="9">
                <c:v>14/05/2019</c:v>
              </c:pt>
              <c:pt idx="10">
                <c:v>15/05/2019</c:v>
              </c:pt>
              <c:pt idx="11">
                <c:v>16/05/2019</c:v>
              </c:pt>
              <c:pt idx="12">
                <c:v>17/05/2019</c:v>
              </c:pt>
              <c:pt idx="13">
                <c:v>18/05/2019</c:v>
              </c:pt>
              <c:pt idx="14">
                <c:v>20/05/2019</c:v>
              </c:pt>
              <c:pt idx="15">
                <c:v>21/05/2019</c:v>
              </c:pt>
              <c:pt idx="16">
                <c:v>22/05/2019</c:v>
              </c:pt>
              <c:pt idx="17">
                <c:v>23/05/2019</c:v>
              </c:pt>
              <c:pt idx="18">
                <c:v>24/05/2019</c:v>
              </c:pt>
              <c:pt idx="19">
                <c:v>25/05/2019</c:v>
              </c:pt>
              <c:pt idx="20">
                <c:v>27/05/2019</c:v>
              </c:pt>
              <c:pt idx="21">
                <c:v>28/05/2019</c:v>
              </c:pt>
              <c:pt idx="22">
                <c:v>29/05/2019</c:v>
              </c:pt>
              <c:pt idx="23">
                <c:v>30/05/2019</c:v>
              </c:pt>
              <c:pt idx="24">
                <c:v>11/06/2019</c:v>
              </c:pt>
              <c:pt idx="25">
                <c:v>12/06/2019</c:v>
              </c:pt>
              <c:pt idx="26">
                <c:v>13/06/2019</c:v>
              </c:pt>
              <c:pt idx="27">
                <c:v>14/06/2019</c:v>
              </c:pt>
              <c:pt idx="28">
                <c:v>15/06/2019</c:v>
              </c:pt>
              <c:pt idx="29">
                <c:v>17/06/2019</c:v>
              </c:pt>
              <c:pt idx="30">
                <c:v>18/06/2019</c:v>
              </c:pt>
              <c:pt idx="31">
                <c:v>19/06/2019</c:v>
              </c:pt>
              <c:pt idx="32">
                <c:v>20/06/2019</c:v>
              </c:pt>
              <c:pt idx="33">
                <c:v>21/06/2019</c:v>
              </c:pt>
              <c:pt idx="34">
                <c:v>24/06/2019</c:v>
              </c:pt>
              <c:pt idx="35">
                <c:v>25/06/2019</c:v>
              </c:pt>
              <c:pt idx="36">
                <c:v>26/06/2019</c:v>
              </c:pt>
              <c:pt idx="37">
                <c:v>27/06/2019</c:v>
              </c:pt>
              <c:pt idx="38">
                <c:v>28/06/2019</c:v>
              </c:pt>
              <c:pt idx="39">
                <c:v>01/07/2019</c:v>
              </c:pt>
              <c:pt idx="40">
                <c:v>02/07/2019</c:v>
              </c:pt>
              <c:pt idx="41">
                <c:v>03/07/2019</c:v>
              </c:pt>
              <c:pt idx="42">
                <c:v>04/07/2019</c:v>
              </c:pt>
              <c:pt idx="43">
                <c:v>05/07/2019</c:v>
              </c:pt>
              <c:pt idx="44">
                <c:v>08/07/2019</c:v>
              </c:pt>
              <c:pt idx="45">
                <c:v>09/07/2019</c:v>
              </c:pt>
              <c:pt idx="46">
                <c:v>10/07/2019</c:v>
              </c:pt>
              <c:pt idx="47">
                <c:v>11/07/2019</c:v>
              </c:pt>
              <c:pt idx="48">
                <c:v>12/07/2019</c:v>
              </c:pt>
              <c:pt idx="49">
                <c:v>15/07/2019</c:v>
              </c:pt>
              <c:pt idx="50">
                <c:v>16/07/2019</c:v>
              </c:pt>
              <c:pt idx="51">
                <c:v>17/07/2019</c:v>
              </c:pt>
              <c:pt idx="52">
                <c:v>18/07/2019</c:v>
              </c:pt>
              <c:pt idx="53">
                <c:v>19/07/2019</c:v>
              </c:pt>
              <c:pt idx="54">
                <c:v>22/07/2019</c:v>
              </c:pt>
              <c:pt idx="55">
                <c:v>23/07/2019</c:v>
              </c:pt>
              <c:pt idx="56">
                <c:v>24/07/2019</c:v>
              </c:pt>
              <c:pt idx="57">
                <c:v>25/07/2019</c:v>
              </c:pt>
              <c:pt idx="58">
                <c:v>26/07/2019</c:v>
              </c:pt>
              <c:pt idx="59">
                <c:v>29/07/2019</c:v>
              </c:pt>
              <c:pt idx="60">
                <c:v>30/07/2019</c:v>
              </c:pt>
              <c:pt idx="61">
                <c:v>31/07/2019</c:v>
              </c:pt>
              <c:pt idx="62">
                <c:v>01/08/2019</c:v>
              </c:pt>
              <c:pt idx="63">
                <c:v>02/08/2019</c:v>
              </c:pt>
              <c:pt idx="64">
                <c:v>05/08/2019</c:v>
              </c:pt>
              <c:pt idx="65">
                <c:v>06/08/2019</c:v>
              </c:pt>
              <c:pt idx="66">
                <c:v>07/08/2019</c:v>
              </c:pt>
              <c:pt idx="67">
                <c:v>08/08/2019</c:v>
              </c:pt>
              <c:pt idx="68">
                <c:v>09/08/2019</c:v>
              </c:pt>
              <c:pt idx="69">
                <c:v>13/08/2019</c:v>
              </c:pt>
              <c:pt idx="70">
                <c:v>14/08/2019</c:v>
              </c:pt>
              <c:pt idx="71">
                <c:v>15/08/2019</c:v>
              </c:pt>
              <c:pt idx="72">
                <c:v>16/08/2019</c:v>
              </c:pt>
              <c:pt idx="73">
                <c:v>19/08/2019</c:v>
              </c:pt>
              <c:pt idx="74">
                <c:v>20/08/2019</c:v>
              </c:pt>
              <c:pt idx="75">
                <c:v>21/08/2019</c:v>
              </c:pt>
              <c:pt idx="76">
                <c:v>22/08/2019</c:v>
              </c:pt>
              <c:pt idx="77">
                <c:v>23/08/2019</c:v>
              </c:pt>
              <c:pt idx="78">
                <c:v>26/08/2019</c:v>
              </c:pt>
              <c:pt idx="79">
                <c:v>27/08/2019</c:v>
              </c:pt>
              <c:pt idx="80">
                <c:v>28/08/2019</c:v>
              </c:pt>
              <c:pt idx="81">
                <c:v>29/08/2019</c:v>
              </c:pt>
              <c:pt idx="82">
                <c:v>02/09/2019</c:v>
              </c:pt>
              <c:pt idx="83">
                <c:v>03/09/2019</c:v>
              </c:pt>
              <c:pt idx="84">
                <c:v>04/09/2019</c:v>
              </c:pt>
              <c:pt idx="85">
                <c:v>05/09/2019</c:v>
              </c:pt>
              <c:pt idx="86">
                <c:v>06/09/2019</c:v>
              </c:pt>
              <c:pt idx="87">
                <c:v>09/09/2019</c:v>
              </c:pt>
              <c:pt idx="88">
                <c:v>10/09/2019</c:v>
              </c:pt>
              <c:pt idx="89">
                <c:v>11/09/2019</c:v>
              </c:pt>
              <c:pt idx="90">
                <c:v>12/09/2019</c:v>
              </c:pt>
              <c:pt idx="91">
                <c:v>13/09/2019</c:v>
              </c:pt>
              <c:pt idx="92">
                <c:v>16/09/2019</c:v>
              </c:pt>
              <c:pt idx="93">
                <c:v>17/09/2019</c:v>
              </c:pt>
              <c:pt idx="94">
                <c:v>18/09/2019</c:v>
              </c:pt>
              <c:pt idx="95">
                <c:v>19/09/2019</c:v>
              </c:pt>
              <c:pt idx="96">
                <c:v>20/09/2019</c:v>
              </c:pt>
              <c:pt idx="97">
                <c:v>23/09/2019</c:v>
              </c:pt>
              <c:pt idx="98">
                <c:v>24/09/2019</c:v>
              </c:pt>
              <c:pt idx="99">
                <c:v>25/09/2019</c:v>
              </c:pt>
              <c:pt idx="100">
                <c:v>26/09/2019</c:v>
              </c:pt>
              <c:pt idx="101">
                <c:v>27/09/2019</c:v>
              </c:pt>
              <c:pt idx="102">
                <c:v>30/09/2019</c:v>
              </c:pt>
              <c:pt idx="103">
                <c:v>01/10/2019</c:v>
              </c:pt>
              <c:pt idx="104">
                <c:v>02/10/2019</c:v>
              </c:pt>
              <c:pt idx="105">
                <c:v>03/10/2019</c:v>
              </c:pt>
              <c:pt idx="106">
                <c:v>04/10/2019</c:v>
              </c:pt>
              <c:pt idx="107">
                <c:v>10/10/2019</c:v>
              </c:pt>
              <c:pt idx="108">
                <c:v>11/10/2019</c:v>
              </c:pt>
              <c:pt idx="109">
                <c:v>14/10/2019</c:v>
              </c:pt>
              <c:pt idx="110">
                <c:v>15/10/2019</c:v>
              </c:pt>
              <c:pt idx="111">
                <c:v>16/10/2019</c:v>
              </c:pt>
              <c:pt idx="112">
                <c:v>17/10/2019</c:v>
              </c:pt>
              <c:pt idx="113">
                <c:v>18/10/2019</c:v>
              </c:pt>
              <c:pt idx="114">
                <c:v>21/10/2019</c:v>
              </c:pt>
              <c:pt idx="115">
                <c:v>22/10/2019</c:v>
              </c:pt>
              <c:pt idx="116">
                <c:v>23/10/2019</c:v>
              </c:pt>
              <c:pt idx="117">
                <c:v>24/10/2019</c:v>
              </c:pt>
              <c:pt idx="118">
                <c:v>25/10/2019</c:v>
              </c:pt>
              <c:pt idx="119">
                <c:v>28/10/2019</c:v>
              </c:pt>
              <c:pt idx="120">
                <c:v>29/10/2019</c:v>
              </c:pt>
              <c:pt idx="121">
                <c:v>30/10/2019</c:v>
              </c:pt>
              <c:pt idx="122">
                <c:v>31/10/2019</c:v>
              </c:pt>
              <c:pt idx="123">
                <c:v>01/11/2019</c:v>
              </c:pt>
              <c:pt idx="124">
                <c:v>04/11/2019</c:v>
              </c:pt>
              <c:pt idx="125">
                <c:v>05/11/2019</c:v>
              </c:pt>
              <c:pt idx="126">
                <c:v>06/11/2019</c:v>
              </c:pt>
              <c:pt idx="127">
                <c:v>07/11/2019</c:v>
              </c:pt>
              <c:pt idx="128">
                <c:v>08/11/2019</c:v>
              </c:pt>
              <c:pt idx="129">
                <c:v>11/11/2019</c:v>
              </c:pt>
              <c:pt idx="130">
                <c:v>12/11/2019</c:v>
              </c:pt>
              <c:pt idx="131">
                <c:v>13/11/2019</c:v>
              </c:pt>
              <c:pt idx="132">
                <c:v>14/11/2019</c:v>
              </c:pt>
              <c:pt idx="133">
                <c:v>15/11/2019</c:v>
              </c:pt>
              <c:pt idx="134">
                <c:v>18/11/2019</c:v>
              </c:pt>
              <c:pt idx="135">
                <c:v>19/11/2019</c:v>
              </c:pt>
              <c:pt idx="136">
                <c:v>20/11/2019</c:v>
              </c:pt>
              <c:pt idx="137">
                <c:v>21/11/2019</c:v>
              </c:pt>
              <c:pt idx="138">
                <c:v>22/11/2019</c:v>
              </c:pt>
              <c:pt idx="139">
                <c:v>25/11/2019</c:v>
              </c:pt>
              <c:pt idx="140">
                <c:v>26/11/2019</c:v>
              </c:pt>
              <c:pt idx="141">
                <c:v>27/11/2019</c:v>
              </c:pt>
              <c:pt idx="142">
                <c:v>28/11/2019</c:v>
              </c:pt>
              <c:pt idx="143">
                <c:v>29/11/2019</c:v>
              </c:pt>
              <c:pt idx="144">
                <c:v>02/12/2019</c:v>
              </c:pt>
              <c:pt idx="145">
                <c:v>03/12/2019</c:v>
              </c:pt>
              <c:pt idx="146">
                <c:v>04/12/2019</c:v>
              </c:pt>
              <c:pt idx="147">
                <c:v>05/12/2019</c:v>
              </c:pt>
              <c:pt idx="148">
                <c:v>06/12/2019</c:v>
              </c:pt>
              <c:pt idx="149">
                <c:v>09/12/2019</c:v>
              </c:pt>
              <c:pt idx="150">
                <c:v>10/12/2019</c:v>
              </c:pt>
              <c:pt idx="151">
                <c:v>11/12/2019</c:v>
              </c:pt>
              <c:pt idx="152">
                <c:v>12/12/2019</c:v>
              </c:pt>
              <c:pt idx="153">
                <c:v>13/12/2019</c:v>
              </c:pt>
              <c:pt idx="154">
                <c:v>16/12/2019</c:v>
              </c:pt>
            </c:strLit>
          </c:cat>
          <c:val>
            <c:numLit>
              <c:formatCode>General</c:formatCode>
              <c:ptCount val="155"/>
              <c:pt idx="0">
                <c:v>0.85175459536882314</c:v>
              </c:pt>
              <c:pt idx="1">
                <c:v>0.83504416328479347</c:v>
              </c:pt>
              <c:pt idx="2">
                <c:v>0.83908329226219813</c:v>
              </c:pt>
              <c:pt idx="3">
                <c:v>0.79176934450468206</c:v>
              </c:pt>
              <c:pt idx="4">
                <c:v>0.80827994085756527</c:v>
              </c:pt>
              <c:pt idx="5">
                <c:v>0.82552981764415967</c:v>
              </c:pt>
              <c:pt idx="6">
                <c:v>0.82996550024642679</c:v>
              </c:pt>
              <c:pt idx="7">
                <c:v>0.83464760965993101</c:v>
              </c:pt>
              <c:pt idx="8">
                <c:v>0.80335140463282406</c:v>
              </c:pt>
              <c:pt idx="9">
                <c:v>0.79103006407097087</c:v>
              </c:pt>
              <c:pt idx="10">
                <c:v>0.82232626909807782</c:v>
              </c:pt>
              <c:pt idx="11">
                <c:v>0.81271562345983239</c:v>
              </c:pt>
              <c:pt idx="12">
                <c:v>0.78092656481025136</c:v>
              </c:pt>
              <c:pt idx="13">
                <c:v>0.75797325102880664</c:v>
              </c:pt>
              <c:pt idx="14">
                <c:v>0.75308641975308643</c:v>
              </c:pt>
              <c:pt idx="15">
                <c:v>0.76568930041152261</c:v>
              </c:pt>
              <c:pt idx="16">
                <c:v>0.75231481481481477</c:v>
              </c:pt>
              <c:pt idx="17">
                <c:v>0.72916666666666663</c:v>
              </c:pt>
              <c:pt idx="18">
                <c:v>0.70550411522633749</c:v>
              </c:pt>
              <c:pt idx="19">
                <c:v>0.67592592592592593</c:v>
              </c:pt>
              <c:pt idx="20">
                <c:v>0.66255144032921809</c:v>
              </c:pt>
              <c:pt idx="21">
                <c:v>0.70498971193415638</c:v>
              </c:pt>
              <c:pt idx="22">
                <c:v>0.7260802469135802</c:v>
              </c:pt>
              <c:pt idx="23">
                <c:v>0.71527777777777779</c:v>
              </c:pt>
              <c:pt idx="24">
                <c:v>0.71219135802469136</c:v>
              </c:pt>
              <c:pt idx="25">
                <c:v>0.69984567901234573</c:v>
              </c:pt>
              <c:pt idx="26">
                <c:v>0.70627572016460904</c:v>
              </c:pt>
              <c:pt idx="27">
                <c:v>0.70807613168724282</c:v>
              </c:pt>
              <c:pt idx="28">
                <c:v>0.75</c:v>
              </c:pt>
              <c:pt idx="29">
                <c:v>0.75231481481481477</c:v>
              </c:pt>
              <c:pt idx="30">
                <c:v>0.77597736625514402</c:v>
              </c:pt>
              <c:pt idx="31">
                <c:v>0.79861111111111116</c:v>
              </c:pt>
              <c:pt idx="32">
                <c:v>0.79243827160493829</c:v>
              </c:pt>
              <c:pt idx="33">
                <c:v>0.77469135802469136</c:v>
              </c:pt>
              <c:pt idx="34">
                <c:v>0.74588477366255146</c:v>
              </c:pt>
              <c:pt idx="35">
                <c:v>0.72132848988064346</c:v>
              </c:pt>
              <c:pt idx="36">
                <c:v>0.76024909185262068</c:v>
              </c:pt>
              <c:pt idx="37">
                <c:v>0.78691099476439785</c:v>
              </c:pt>
              <c:pt idx="38">
                <c:v>0.77068062827225126</c:v>
              </c:pt>
              <c:pt idx="39">
                <c:v>0.75366492146596864</c:v>
              </c:pt>
              <c:pt idx="40">
                <c:v>0.74476439790575921</c:v>
              </c:pt>
              <c:pt idx="41">
                <c:v>0.75104712041884814</c:v>
              </c:pt>
              <c:pt idx="42">
                <c:v>0.78246073298429319</c:v>
              </c:pt>
              <c:pt idx="43">
                <c:v>0.77931937172774868</c:v>
              </c:pt>
              <c:pt idx="44">
                <c:v>0.74790575916230362</c:v>
              </c:pt>
              <c:pt idx="45">
                <c:v>0.77539267015706803</c:v>
              </c:pt>
              <c:pt idx="46">
                <c:v>0.78586387434554972</c:v>
              </c:pt>
              <c:pt idx="47">
                <c:v>0.81858638743455492</c:v>
              </c:pt>
              <c:pt idx="48">
                <c:v>0.77774869109947642</c:v>
              </c:pt>
              <c:pt idx="49">
                <c:v>0.73455497382198953</c:v>
              </c:pt>
              <c:pt idx="50">
                <c:v>0.75235602094240839</c:v>
              </c:pt>
              <c:pt idx="51">
                <c:v>0.76858638743455499</c:v>
              </c:pt>
              <c:pt idx="52">
                <c:v>0.74659685863874348</c:v>
              </c:pt>
              <c:pt idx="53">
                <c:v>0.73586387434554978</c:v>
              </c:pt>
              <c:pt idx="54">
                <c:v>0.73451327433628322</c:v>
              </c:pt>
              <c:pt idx="55">
                <c:v>0.72372787610619471</c:v>
              </c:pt>
              <c:pt idx="56">
                <c:v>0.76769911504424782</c:v>
              </c:pt>
              <c:pt idx="57">
                <c:v>0.81720132743362828</c:v>
              </c:pt>
              <c:pt idx="58">
                <c:v>0.79563053097345138</c:v>
              </c:pt>
              <c:pt idx="59">
                <c:v>0.77046460176991149</c:v>
              </c:pt>
              <c:pt idx="60">
                <c:v>0.79009955752212391</c:v>
              </c:pt>
              <c:pt idx="61">
                <c:v>0.79314159292035402</c:v>
              </c:pt>
              <c:pt idx="62">
                <c:v>0.84292035398230092</c:v>
              </c:pt>
              <c:pt idx="63">
                <c:v>0.83130530973451322</c:v>
              </c:pt>
              <c:pt idx="64">
                <c:v>0.79231194690265483</c:v>
              </c:pt>
              <c:pt idx="65">
                <c:v>0.80530973451327437</c:v>
              </c:pt>
              <c:pt idx="66">
                <c:v>0.81775442477876104</c:v>
              </c:pt>
              <c:pt idx="67">
                <c:v>0.84679203539823011</c:v>
              </c:pt>
              <c:pt idx="68">
                <c:v>0.84126106194690264</c:v>
              </c:pt>
              <c:pt idx="69">
                <c:v>0.73617256637168138</c:v>
              </c:pt>
              <c:pt idx="70">
                <c:v>0.75304203539823011</c:v>
              </c:pt>
              <c:pt idx="71">
                <c:v>0.77046460176991149</c:v>
              </c:pt>
              <c:pt idx="72">
                <c:v>0.80254424778761058</c:v>
              </c:pt>
              <c:pt idx="73">
                <c:v>0.79894911504424782</c:v>
              </c:pt>
              <c:pt idx="74">
                <c:v>0.78622787610619471</c:v>
              </c:pt>
              <c:pt idx="75">
                <c:v>0.79203539823008851</c:v>
              </c:pt>
              <c:pt idx="76">
                <c:v>0.80309734513274333</c:v>
              </c:pt>
              <c:pt idx="77">
                <c:v>0.76216814159292035</c:v>
              </c:pt>
              <c:pt idx="78">
                <c:v>0.7226216814159292</c:v>
              </c:pt>
              <c:pt idx="79">
                <c:v>0.82024336283185839</c:v>
              </c:pt>
              <c:pt idx="80">
                <c:v>0.81664823008849563</c:v>
              </c:pt>
              <c:pt idx="81">
                <c:v>0.8564712389380531</c:v>
              </c:pt>
              <c:pt idx="82">
                <c:v>0.83268805309734517</c:v>
              </c:pt>
              <c:pt idx="83">
                <c:v>0.81111725663716816</c:v>
              </c:pt>
              <c:pt idx="84">
                <c:v>0.81305309734513276</c:v>
              </c:pt>
              <c:pt idx="85">
                <c:v>0.78816371681415931</c:v>
              </c:pt>
              <c:pt idx="86">
                <c:v>0.75525442477876104</c:v>
              </c:pt>
              <c:pt idx="87">
                <c:v>0.74363938053097345</c:v>
              </c:pt>
              <c:pt idx="88">
                <c:v>0.76963495575221241</c:v>
              </c:pt>
              <c:pt idx="89">
                <c:v>0.78346238938053092</c:v>
              </c:pt>
              <c:pt idx="90">
                <c:v>0.80696902654867253</c:v>
              </c:pt>
              <c:pt idx="91">
                <c:v>0.80116150442477874</c:v>
              </c:pt>
              <c:pt idx="92">
                <c:v>0.76189159292035402</c:v>
              </c:pt>
              <c:pt idx="93">
                <c:v>0.75138274336283184</c:v>
              </c:pt>
              <c:pt idx="94">
                <c:v>0.78429203539823011</c:v>
              </c:pt>
              <c:pt idx="95">
                <c:v>0.77488938053097345</c:v>
              </c:pt>
              <c:pt idx="96">
                <c:v>0.77350663716814161</c:v>
              </c:pt>
              <c:pt idx="97">
                <c:v>0.83573008849557517</c:v>
              </c:pt>
              <c:pt idx="98">
                <c:v>0.84734513274336287</c:v>
              </c:pt>
              <c:pt idx="99">
                <c:v>0.84983407079646023</c:v>
              </c:pt>
              <c:pt idx="100">
                <c:v>0.86061946902654862</c:v>
              </c:pt>
              <c:pt idx="101">
                <c:v>0.85204646017699115</c:v>
              </c:pt>
              <c:pt idx="102">
                <c:v>0.80530973451327437</c:v>
              </c:pt>
              <c:pt idx="103">
                <c:v>0.87195796460176989</c:v>
              </c:pt>
              <c:pt idx="104">
                <c:v>0.86587389380530977</c:v>
              </c:pt>
              <c:pt idx="105">
                <c:v>0.84955752212389379</c:v>
              </c:pt>
              <c:pt idx="106">
                <c:v>0.86808628318584069</c:v>
              </c:pt>
              <c:pt idx="107">
                <c:v>0.89186946902654862</c:v>
              </c:pt>
              <c:pt idx="108">
                <c:v>0.86310840707964598</c:v>
              </c:pt>
              <c:pt idx="109">
                <c:v>0.83766592920353977</c:v>
              </c:pt>
              <c:pt idx="110">
                <c:v>0.85038716814159288</c:v>
              </c:pt>
              <c:pt idx="111">
                <c:v>0.83019911504424782</c:v>
              </c:pt>
              <c:pt idx="112">
                <c:v>0.85813053097345138</c:v>
              </c:pt>
              <c:pt idx="113">
                <c:v>0.83849557522123896</c:v>
              </c:pt>
              <c:pt idx="114">
                <c:v>0.8310287610619469</c:v>
              </c:pt>
              <c:pt idx="115">
                <c:v>0.86615044247787609</c:v>
              </c:pt>
              <c:pt idx="116">
                <c:v>0.88440265486725667</c:v>
              </c:pt>
              <c:pt idx="117">
                <c:v>0.91233407079646023</c:v>
              </c:pt>
              <c:pt idx="118">
                <c:v>0.90901548672566368</c:v>
              </c:pt>
              <c:pt idx="119">
                <c:v>0.84623893805309736</c:v>
              </c:pt>
              <c:pt idx="120">
                <c:v>0.85232300884955747</c:v>
              </c:pt>
              <c:pt idx="121">
                <c:v>0.85232300884955747</c:v>
              </c:pt>
              <c:pt idx="122">
                <c:v>0.82660398230088494</c:v>
              </c:pt>
              <c:pt idx="123">
                <c:v>0.8125</c:v>
              </c:pt>
              <c:pt idx="124">
                <c:v>0.77184734513274333</c:v>
              </c:pt>
              <c:pt idx="125">
                <c:v>0.75</c:v>
              </c:pt>
              <c:pt idx="126">
                <c:v>0.73855359001040588</c:v>
              </c:pt>
              <c:pt idx="127">
                <c:v>0.75234131113423519</c:v>
              </c:pt>
              <c:pt idx="128">
                <c:v>0.77393340270551514</c:v>
              </c:pt>
              <c:pt idx="129">
                <c:v>0.76326742976066597</c:v>
              </c:pt>
              <c:pt idx="130">
                <c:v>0.79110301768990632</c:v>
              </c:pt>
              <c:pt idx="131">
                <c:v>0.80359001040582723</c:v>
              </c:pt>
              <c:pt idx="132">
                <c:v>0.79682622268470349</c:v>
              </c:pt>
              <c:pt idx="133">
                <c:v>0.78485952133194592</c:v>
              </c:pt>
              <c:pt idx="134">
                <c:v>0.77003121748178982</c:v>
              </c:pt>
              <c:pt idx="135">
                <c:v>0.78277835587929245</c:v>
              </c:pt>
              <c:pt idx="136">
                <c:v>0.80515088449531735</c:v>
              </c:pt>
              <c:pt idx="137">
                <c:v>0.82492195629552545</c:v>
              </c:pt>
              <c:pt idx="138">
                <c:v>0.8007284079084287</c:v>
              </c:pt>
              <c:pt idx="139">
                <c:v>0.77523413111342354</c:v>
              </c:pt>
              <c:pt idx="140">
                <c:v>0.80385015608740895</c:v>
              </c:pt>
              <c:pt idx="141">
                <c:v>0.83272632674297609</c:v>
              </c:pt>
              <c:pt idx="142">
                <c:v>0.8303850156087409</c:v>
              </c:pt>
              <c:pt idx="143">
                <c:v>0.83636836628511968</c:v>
              </c:pt>
              <c:pt idx="144">
                <c:v>0.82648283038501558</c:v>
              </c:pt>
              <c:pt idx="145">
                <c:v>0.85458167330677293</c:v>
              </c:pt>
              <c:pt idx="146">
                <c:v>0.8271604938271605</c:v>
              </c:pt>
              <c:pt idx="147">
                <c:v>0.81762065095398428</c:v>
              </c:pt>
              <c:pt idx="148">
                <c:v>0.80780022446689115</c:v>
              </c:pt>
              <c:pt idx="149">
                <c:v>0.78675645342312006</c:v>
              </c:pt>
              <c:pt idx="150">
                <c:v>0.85465768799102138</c:v>
              </c:pt>
              <c:pt idx="151">
                <c:v>0.7884910485933504</c:v>
              </c:pt>
              <c:pt idx="152">
                <c:v>0.84526854219948844</c:v>
              </c:pt>
              <c:pt idx="153">
                <c:v>0.88209718670076731</c:v>
              </c:pt>
              <c:pt idx="154">
                <c:v>0.14093959731543623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614-422B-9901-09A71D2CA90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92871416"/>
        <c:axId val="392869456"/>
      </c:lineChart>
      <c:catAx>
        <c:axId val="3928714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86945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392869456"/>
        <c:scaling>
          <c:orientation val="minMax"/>
          <c:max val="1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871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7433895772167309"/>
          <c:y val="2.849845487631384E-2"/>
          <c:w val="0.26369826908330896"/>
          <c:h val="5.9445586155381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[Occupancy Mei-Des 19.xlsx]PivotChartTable1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baseline="0">
                <a:effectLst/>
              </a:rPr>
              <a:t>Occupancy Mei-Juni 19 SAI-B</a:t>
            </a:r>
            <a:endParaRPr lang="en-GB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3265791948292096E-2"/>
          <c:y val="0.24062518226888305"/>
          <c:w val="0.84542699155204104"/>
          <c:h val="0.53962452610090406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154"/>
              <c:pt idx="0">
                <c:v>02/05/2019</c:v>
              </c:pt>
              <c:pt idx="1">
                <c:v>03/05/2019</c:v>
              </c:pt>
              <c:pt idx="2">
                <c:v>04/05/2019</c:v>
              </c:pt>
              <c:pt idx="3">
                <c:v>06/05/2019</c:v>
              </c:pt>
              <c:pt idx="4">
                <c:v>07/05/2019</c:v>
              </c:pt>
              <c:pt idx="5">
                <c:v>08/05/2019</c:v>
              </c:pt>
              <c:pt idx="6">
                <c:v>09/05/2019</c:v>
              </c:pt>
              <c:pt idx="7">
                <c:v>10/05/2019</c:v>
              </c:pt>
              <c:pt idx="8">
                <c:v>13/05/2019</c:v>
              </c:pt>
              <c:pt idx="9">
                <c:v>14/05/2019</c:v>
              </c:pt>
              <c:pt idx="10">
                <c:v>15/05/2019</c:v>
              </c:pt>
              <c:pt idx="11">
                <c:v>16/05/2019</c:v>
              </c:pt>
              <c:pt idx="12">
                <c:v>17/05/2019</c:v>
              </c:pt>
              <c:pt idx="13">
                <c:v>18/05/2019</c:v>
              </c:pt>
              <c:pt idx="14">
                <c:v>20/05/2019</c:v>
              </c:pt>
              <c:pt idx="15">
                <c:v>21/05/2019</c:v>
              </c:pt>
              <c:pt idx="16">
                <c:v>22/05/2019</c:v>
              </c:pt>
              <c:pt idx="17">
                <c:v>23/05/2019</c:v>
              </c:pt>
              <c:pt idx="18">
                <c:v>24/05/2019</c:v>
              </c:pt>
              <c:pt idx="19">
                <c:v>25/05/2019</c:v>
              </c:pt>
              <c:pt idx="20">
                <c:v>27/05/2019</c:v>
              </c:pt>
              <c:pt idx="21">
                <c:v>28/05/2019</c:v>
              </c:pt>
              <c:pt idx="22">
                <c:v>29/05/2019</c:v>
              </c:pt>
              <c:pt idx="23">
                <c:v>30/05/2019</c:v>
              </c:pt>
              <c:pt idx="24">
                <c:v>11/06/2019</c:v>
              </c:pt>
              <c:pt idx="25">
                <c:v>12/06/2019</c:v>
              </c:pt>
              <c:pt idx="26">
                <c:v>13/06/2019</c:v>
              </c:pt>
              <c:pt idx="27">
                <c:v>14/06/2019</c:v>
              </c:pt>
              <c:pt idx="28">
                <c:v>15/06/2019</c:v>
              </c:pt>
              <c:pt idx="29">
                <c:v>17/06/2019</c:v>
              </c:pt>
              <c:pt idx="30">
                <c:v>18/06/2019</c:v>
              </c:pt>
              <c:pt idx="31">
                <c:v>19/06/2019</c:v>
              </c:pt>
              <c:pt idx="32">
                <c:v>20/06/2019</c:v>
              </c:pt>
              <c:pt idx="33">
                <c:v>21/06/2019</c:v>
              </c:pt>
              <c:pt idx="34">
                <c:v>24/06/2019</c:v>
              </c:pt>
              <c:pt idx="35">
                <c:v>25/06/2019</c:v>
              </c:pt>
              <c:pt idx="36">
                <c:v>27/06/2019</c:v>
              </c:pt>
              <c:pt idx="37">
                <c:v>28/06/2019</c:v>
              </c:pt>
              <c:pt idx="38">
                <c:v>01/07/2019</c:v>
              </c:pt>
              <c:pt idx="39">
                <c:v>02/07/2019</c:v>
              </c:pt>
              <c:pt idx="40">
                <c:v>03/07/2019</c:v>
              </c:pt>
              <c:pt idx="41">
                <c:v>04/07/2019</c:v>
              </c:pt>
              <c:pt idx="42">
                <c:v>05/07/2019</c:v>
              </c:pt>
              <c:pt idx="43">
                <c:v>08/07/2019</c:v>
              </c:pt>
              <c:pt idx="44">
                <c:v>09/07/2019</c:v>
              </c:pt>
              <c:pt idx="45">
                <c:v>10/07/2019</c:v>
              </c:pt>
              <c:pt idx="46">
                <c:v>11/07/2019</c:v>
              </c:pt>
              <c:pt idx="47">
                <c:v>12/07/2019</c:v>
              </c:pt>
              <c:pt idx="48">
                <c:v>15/07/2019</c:v>
              </c:pt>
              <c:pt idx="49">
                <c:v>16/07/2019</c:v>
              </c:pt>
              <c:pt idx="50">
                <c:v>17/07/2019</c:v>
              </c:pt>
              <c:pt idx="51">
                <c:v>18/07/2019</c:v>
              </c:pt>
              <c:pt idx="52">
                <c:v>19/07/2019</c:v>
              </c:pt>
              <c:pt idx="53">
                <c:v>22/07/2019</c:v>
              </c:pt>
              <c:pt idx="54">
                <c:v>23/07/2019</c:v>
              </c:pt>
              <c:pt idx="55">
                <c:v>24/07/2019</c:v>
              </c:pt>
              <c:pt idx="56">
                <c:v>25/07/2019</c:v>
              </c:pt>
              <c:pt idx="57">
                <c:v>26/07/2019</c:v>
              </c:pt>
              <c:pt idx="58">
                <c:v>29/07/2019</c:v>
              </c:pt>
              <c:pt idx="59">
                <c:v>30/07/2019</c:v>
              </c:pt>
              <c:pt idx="60">
                <c:v>31/07/2019</c:v>
              </c:pt>
              <c:pt idx="61">
                <c:v>01/08/2019</c:v>
              </c:pt>
              <c:pt idx="62">
                <c:v>02/08/2019</c:v>
              </c:pt>
              <c:pt idx="63">
                <c:v>05/08/2019</c:v>
              </c:pt>
              <c:pt idx="64">
                <c:v>06/08/2019</c:v>
              </c:pt>
              <c:pt idx="65">
                <c:v>07/08/2019</c:v>
              </c:pt>
              <c:pt idx="66">
                <c:v>08/08/2019</c:v>
              </c:pt>
              <c:pt idx="67">
                <c:v>09/08/2019</c:v>
              </c:pt>
              <c:pt idx="68">
                <c:v>13/08/2019</c:v>
              </c:pt>
              <c:pt idx="69">
                <c:v>14/08/2019</c:v>
              </c:pt>
              <c:pt idx="70">
                <c:v>15/08/2019</c:v>
              </c:pt>
              <c:pt idx="71">
                <c:v>16/08/2019</c:v>
              </c:pt>
              <c:pt idx="72">
                <c:v>19/08/2019</c:v>
              </c:pt>
              <c:pt idx="73">
                <c:v>20/08/2019</c:v>
              </c:pt>
              <c:pt idx="74">
                <c:v>21/08/2019</c:v>
              </c:pt>
              <c:pt idx="75">
                <c:v>22/08/2019</c:v>
              </c:pt>
              <c:pt idx="76">
                <c:v>23/08/2019</c:v>
              </c:pt>
              <c:pt idx="77">
                <c:v>26/08/2019</c:v>
              </c:pt>
              <c:pt idx="78">
                <c:v>27/08/2019</c:v>
              </c:pt>
              <c:pt idx="79">
                <c:v>28/08/2019</c:v>
              </c:pt>
              <c:pt idx="80">
                <c:v>29/08/2019</c:v>
              </c:pt>
              <c:pt idx="81">
                <c:v>02/09/2019</c:v>
              </c:pt>
              <c:pt idx="82">
                <c:v>03/09/2019</c:v>
              </c:pt>
              <c:pt idx="83">
                <c:v>04/09/2019</c:v>
              </c:pt>
              <c:pt idx="84">
                <c:v>05/09/2019</c:v>
              </c:pt>
              <c:pt idx="85">
                <c:v>06/09/2019</c:v>
              </c:pt>
              <c:pt idx="86">
                <c:v>09/09/2019</c:v>
              </c:pt>
              <c:pt idx="87">
                <c:v>10/09/2019</c:v>
              </c:pt>
              <c:pt idx="88">
                <c:v>11/09/2019</c:v>
              </c:pt>
              <c:pt idx="89">
                <c:v>12/09/2019</c:v>
              </c:pt>
              <c:pt idx="90">
                <c:v>13/09/2019</c:v>
              </c:pt>
              <c:pt idx="91">
                <c:v>16/09/2019</c:v>
              </c:pt>
              <c:pt idx="92">
                <c:v>17/09/2019</c:v>
              </c:pt>
              <c:pt idx="93">
                <c:v>18/09/2019</c:v>
              </c:pt>
              <c:pt idx="94">
                <c:v>19/09/2019</c:v>
              </c:pt>
              <c:pt idx="95">
                <c:v>20/09/2019</c:v>
              </c:pt>
              <c:pt idx="96">
                <c:v>23/09/2019</c:v>
              </c:pt>
              <c:pt idx="97">
                <c:v>24/09/2019</c:v>
              </c:pt>
              <c:pt idx="98">
                <c:v>25/09/2019</c:v>
              </c:pt>
              <c:pt idx="99">
                <c:v>26/09/2019</c:v>
              </c:pt>
              <c:pt idx="100">
                <c:v>27/09/2019</c:v>
              </c:pt>
              <c:pt idx="101">
                <c:v>30/09/2019</c:v>
              </c:pt>
              <c:pt idx="102">
                <c:v>01/10/2019</c:v>
              </c:pt>
              <c:pt idx="103">
                <c:v>02/10/2019</c:v>
              </c:pt>
              <c:pt idx="104">
                <c:v>03/10/2019</c:v>
              </c:pt>
              <c:pt idx="105">
                <c:v>04/10/2019</c:v>
              </c:pt>
              <c:pt idx="106">
                <c:v>10/10/2019</c:v>
              </c:pt>
              <c:pt idx="107">
                <c:v>11/10/2019</c:v>
              </c:pt>
              <c:pt idx="108">
                <c:v>14/10/2019</c:v>
              </c:pt>
              <c:pt idx="109">
                <c:v>15/10/2019</c:v>
              </c:pt>
              <c:pt idx="110">
                <c:v>16/10/2019</c:v>
              </c:pt>
              <c:pt idx="111">
                <c:v>17/10/2019</c:v>
              </c:pt>
              <c:pt idx="112">
                <c:v>18/10/2019</c:v>
              </c:pt>
              <c:pt idx="113">
                <c:v>21/10/2019</c:v>
              </c:pt>
              <c:pt idx="114">
                <c:v>22/10/2019</c:v>
              </c:pt>
              <c:pt idx="115">
                <c:v>23/10/2019</c:v>
              </c:pt>
              <c:pt idx="116">
                <c:v>24/10/2019</c:v>
              </c:pt>
              <c:pt idx="117">
                <c:v>25/10/2019</c:v>
              </c:pt>
              <c:pt idx="118">
                <c:v>28/10/2019</c:v>
              </c:pt>
              <c:pt idx="119">
                <c:v>29/10/2019</c:v>
              </c:pt>
              <c:pt idx="120">
                <c:v>30/10/2019</c:v>
              </c:pt>
              <c:pt idx="121">
                <c:v>31/10/2019</c:v>
              </c:pt>
              <c:pt idx="122">
                <c:v>01/11/2019</c:v>
              </c:pt>
              <c:pt idx="123">
                <c:v>04/11/2019</c:v>
              </c:pt>
              <c:pt idx="124">
                <c:v>05/11/2019</c:v>
              </c:pt>
              <c:pt idx="125">
                <c:v>06/11/2019</c:v>
              </c:pt>
              <c:pt idx="126">
                <c:v>07/11/2019</c:v>
              </c:pt>
              <c:pt idx="127">
                <c:v>08/11/2019</c:v>
              </c:pt>
              <c:pt idx="128">
                <c:v>11/11/2019</c:v>
              </c:pt>
              <c:pt idx="129">
                <c:v>12/11/2019</c:v>
              </c:pt>
              <c:pt idx="130">
                <c:v>13/11/2019</c:v>
              </c:pt>
              <c:pt idx="131">
                <c:v>14/11/2019</c:v>
              </c:pt>
              <c:pt idx="132">
                <c:v>15/11/2019</c:v>
              </c:pt>
              <c:pt idx="133">
                <c:v>18/11/2019</c:v>
              </c:pt>
              <c:pt idx="134">
                <c:v>19/11/2019</c:v>
              </c:pt>
              <c:pt idx="135">
                <c:v>20/11/2019</c:v>
              </c:pt>
              <c:pt idx="136">
                <c:v>21/11/2019</c:v>
              </c:pt>
              <c:pt idx="137">
                <c:v>22/11/2019</c:v>
              </c:pt>
              <c:pt idx="138">
                <c:v>25/11/2019</c:v>
              </c:pt>
              <c:pt idx="139">
                <c:v>26/11/2019</c:v>
              </c:pt>
              <c:pt idx="140">
                <c:v>27/11/2019</c:v>
              </c:pt>
              <c:pt idx="141">
                <c:v>28/11/2019</c:v>
              </c:pt>
              <c:pt idx="142">
                <c:v>29/11/2019</c:v>
              </c:pt>
              <c:pt idx="143">
                <c:v>02/12/2019</c:v>
              </c:pt>
              <c:pt idx="144">
                <c:v>03/12/2019</c:v>
              </c:pt>
              <c:pt idx="145">
                <c:v>04/12/2019</c:v>
              </c:pt>
              <c:pt idx="146">
                <c:v>05/12/2019</c:v>
              </c:pt>
              <c:pt idx="147">
                <c:v>06/12/2019</c:v>
              </c:pt>
              <c:pt idx="148">
                <c:v>09/12/2019</c:v>
              </c:pt>
              <c:pt idx="149">
                <c:v>10/12/2019</c:v>
              </c:pt>
              <c:pt idx="150">
                <c:v>11/12/2019</c:v>
              </c:pt>
              <c:pt idx="151">
                <c:v>12/12/2019</c:v>
              </c:pt>
              <c:pt idx="152">
                <c:v>13/12/2019</c:v>
              </c:pt>
              <c:pt idx="153">
                <c:v>16/12/2019</c:v>
              </c:pt>
            </c:strLit>
          </c:cat>
          <c:val>
            <c:numLit>
              <c:formatCode>General</c:formatCode>
              <c:ptCount val="154"/>
              <c:pt idx="0">
                <c:v>0.9</c:v>
              </c:pt>
              <c:pt idx="1">
                <c:v>0.8294117647058824</c:v>
              </c:pt>
              <c:pt idx="2">
                <c:v>0.6705882352941176</c:v>
              </c:pt>
              <c:pt idx="3">
                <c:v>0.55294117647058827</c:v>
              </c:pt>
              <c:pt idx="4">
                <c:v>0.67647058823529416</c:v>
              </c:pt>
              <c:pt idx="5">
                <c:v>0.95882352941176474</c:v>
              </c:pt>
              <c:pt idx="6">
                <c:v>0.85882352941176465</c:v>
              </c:pt>
              <c:pt idx="7">
                <c:v>0.77058823529411768</c:v>
              </c:pt>
              <c:pt idx="8">
                <c:v>0.75882352941176467</c:v>
              </c:pt>
              <c:pt idx="9">
                <c:v>1.0764705882352941</c:v>
              </c:pt>
              <c:pt idx="10">
                <c:v>0.81764705882352939</c:v>
              </c:pt>
              <c:pt idx="11">
                <c:v>0.85882352941176465</c:v>
              </c:pt>
              <c:pt idx="12">
                <c:v>0.75294117647058822</c:v>
              </c:pt>
              <c:pt idx="13">
                <c:v>0.77058823529411768</c:v>
              </c:pt>
              <c:pt idx="14">
                <c:v>0.75588235294117645</c:v>
              </c:pt>
              <c:pt idx="15">
                <c:v>0.8</c:v>
              </c:pt>
              <c:pt idx="16">
                <c:v>0.60882352941176465</c:v>
              </c:pt>
              <c:pt idx="17">
                <c:v>0.49705882352941178</c:v>
              </c:pt>
              <c:pt idx="18">
                <c:v>0.58235294117647063</c:v>
              </c:pt>
              <c:pt idx="19">
                <c:v>0.64117647058823535</c:v>
              </c:pt>
              <c:pt idx="20">
                <c:v>0.64117647058823535</c:v>
              </c:pt>
              <c:pt idx="21">
                <c:v>0.69705882352941173</c:v>
              </c:pt>
              <c:pt idx="22">
                <c:v>0.69705882352941173</c:v>
              </c:pt>
              <c:pt idx="23">
                <c:v>0.72058823529411764</c:v>
              </c:pt>
              <c:pt idx="24">
                <c:v>0.72058823529411764</c:v>
              </c:pt>
              <c:pt idx="25">
                <c:v>0.7382352941176471</c:v>
              </c:pt>
              <c:pt idx="26">
                <c:v>0.71176470588235297</c:v>
              </c:pt>
              <c:pt idx="27">
                <c:v>0.83823529411764708</c:v>
              </c:pt>
              <c:pt idx="28">
                <c:v>0.69705882352941173</c:v>
              </c:pt>
              <c:pt idx="29">
                <c:v>0.68529411764705883</c:v>
              </c:pt>
              <c:pt idx="30">
                <c:v>0.8529411764705882</c:v>
              </c:pt>
              <c:pt idx="31">
                <c:v>1.0823529411764705</c:v>
              </c:pt>
              <c:pt idx="32">
                <c:v>1.0117647058823529</c:v>
              </c:pt>
              <c:pt idx="33">
                <c:v>0.96808510638297873</c:v>
              </c:pt>
              <c:pt idx="34">
                <c:v>0.7978723404255319</c:v>
              </c:pt>
              <c:pt idx="35">
                <c:v>1.9574468085106385</c:v>
              </c:pt>
              <c:pt idx="36">
                <c:v>1.2367021276595744</c:v>
              </c:pt>
              <c:pt idx="37">
                <c:v>1.2107843137254901</c:v>
              </c:pt>
              <c:pt idx="38">
                <c:v>1.1691176470588236</c:v>
              </c:pt>
              <c:pt idx="39">
                <c:v>1.2303921568627452</c:v>
              </c:pt>
              <c:pt idx="40">
                <c:v>1.0399159663865547</c:v>
              </c:pt>
              <c:pt idx="41">
                <c:v>1.134453781512605</c:v>
              </c:pt>
              <c:pt idx="42">
                <c:v>0.99661016949152548</c:v>
              </c:pt>
              <c:pt idx="43">
                <c:v>1.0016949152542374</c:v>
              </c:pt>
              <c:pt idx="44">
                <c:v>1.0186440677966102</c:v>
              </c:pt>
              <c:pt idx="45">
                <c:v>0.97118644067796611</c:v>
              </c:pt>
              <c:pt idx="46">
                <c:v>1.0135593220338983</c:v>
              </c:pt>
              <c:pt idx="47">
                <c:v>0.94915254237288138</c:v>
              </c:pt>
              <c:pt idx="48">
                <c:v>0.87055016181229772</c:v>
              </c:pt>
              <c:pt idx="49">
                <c:v>0.90129449838187703</c:v>
              </c:pt>
              <c:pt idx="50">
                <c:v>0.93365695792880254</c:v>
              </c:pt>
              <c:pt idx="51">
                <c:v>0.97411003236245952</c:v>
              </c:pt>
              <c:pt idx="52">
                <c:v>0.92880258899676371</c:v>
              </c:pt>
              <c:pt idx="53">
                <c:v>0.76923076923076927</c:v>
              </c:pt>
              <c:pt idx="54">
                <c:v>0.78144078144078144</c:v>
              </c:pt>
              <c:pt idx="55">
                <c:v>0.88522588522588519</c:v>
              </c:pt>
              <c:pt idx="56">
                <c:v>0.81562881562881562</c:v>
              </c:pt>
              <c:pt idx="57">
                <c:v>0.89499389499389503</c:v>
              </c:pt>
              <c:pt idx="58">
                <c:v>0.86691086691086694</c:v>
              </c:pt>
              <c:pt idx="59">
                <c:v>0.83028083028083033</c:v>
              </c:pt>
              <c:pt idx="60">
                <c:v>0.89743589743589747</c:v>
              </c:pt>
              <c:pt idx="61">
                <c:v>1.0647130647130647</c:v>
              </c:pt>
              <c:pt idx="62">
                <c:v>0.83716075156576197</c:v>
              </c:pt>
              <c:pt idx="63">
                <c:v>0.79227557411273486</c:v>
              </c:pt>
              <c:pt idx="64">
                <c:v>0.80271398747390399</c:v>
              </c:pt>
              <c:pt idx="65">
                <c:v>0.83611691022964507</c:v>
              </c:pt>
              <c:pt idx="66">
                <c:v>0.84133611691022969</c:v>
              </c:pt>
              <c:pt idx="67">
                <c:v>0.85177453027139871</c:v>
              </c:pt>
              <c:pt idx="68">
                <c:v>0.79958246346555328</c:v>
              </c:pt>
              <c:pt idx="69">
                <c:v>0.82045929018789143</c:v>
              </c:pt>
              <c:pt idx="70">
                <c:v>0.77557411273486432</c:v>
              </c:pt>
              <c:pt idx="71">
                <c:v>0.85699373695198333</c:v>
              </c:pt>
              <c:pt idx="72">
                <c:v>0.80375782881002089</c:v>
              </c:pt>
              <c:pt idx="73">
                <c:v>0.80584551148225469</c:v>
              </c:pt>
              <c:pt idx="74">
                <c:v>0.82463465553235904</c:v>
              </c:pt>
              <c:pt idx="75">
                <c:v>0.81315240083507312</c:v>
              </c:pt>
              <c:pt idx="76">
                <c:v>0.70668058455114824</c:v>
              </c:pt>
              <c:pt idx="77">
                <c:v>0.62734864300626303</c:v>
              </c:pt>
              <c:pt idx="78">
                <c:v>0.75469728601252606</c:v>
              </c:pt>
              <c:pt idx="79">
                <c:v>0.70146137787056373</c:v>
              </c:pt>
              <c:pt idx="80">
                <c:v>0.77453027139874742</c:v>
              </c:pt>
              <c:pt idx="81">
                <c:v>0.75365344467640916</c:v>
              </c:pt>
              <c:pt idx="82">
                <c:v>0.74112734864300622</c:v>
              </c:pt>
              <c:pt idx="83">
                <c:v>0.75678496868475986</c:v>
              </c:pt>
              <c:pt idx="84">
                <c:v>0.74112734864300622</c:v>
              </c:pt>
              <c:pt idx="85">
                <c:v>0.78601252609603345</c:v>
              </c:pt>
              <c:pt idx="86">
                <c:v>0.7306889352818372</c:v>
              </c:pt>
              <c:pt idx="87">
                <c:v>0.73590814196242171</c:v>
              </c:pt>
              <c:pt idx="88">
                <c:v>0.79227557411273486</c:v>
              </c:pt>
              <c:pt idx="89">
                <c:v>0.76722338204592899</c:v>
              </c:pt>
              <c:pt idx="90">
                <c:v>0.72755741127348639</c:v>
              </c:pt>
              <c:pt idx="91">
                <c:v>0.6910229645093946</c:v>
              </c:pt>
              <c:pt idx="92">
                <c:v>0.73903966597077242</c:v>
              </c:pt>
              <c:pt idx="93">
                <c:v>0.76200417536534448</c:v>
              </c:pt>
              <c:pt idx="94">
                <c:v>0.74112734864300622</c:v>
              </c:pt>
              <c:pt idx="95">
                <c:v>0.69415448851774531</c:v>
              </c:pt>
              <c:pt idx="96">
                <c:v>0.75678496868475986</c:v>
              </c:pt>
              <c:pt idx="97">
                <c:v>0.74843423799582465</c:v>
              </c:pt>
              <c:pt idx="98">
                <c:v>0.75574112734864296</c:v>
              </c:pt>
              <c:pt idx="99">
                <c:v>0.78288100208768263</c:v>
              </c:pt>
              <c:pt idx="100">
                <c:v>0.72129436325678498</c:v>
              </c:pt>
              <c:pt idx="101">
                <c:v>0.69937369519832981</c:v>
              </c:pt>
              <c:pt idx="102">
                <c:v>0.87160751565762007</c:v>
              </c:pt>
              <c:pt idx="103">
                <c:v>0.80062630480167019</c:v>
              </c:pt>
              <c:pt idx="104">
                <c:v>0.76722338204592899</c:v>
              </c:pt>
              <c:pt idx="105">
                <c:v>0.76304801670146138</c:v>
              </c:pt>
              <c:pt idx="106">
                <c:v>0.63117870722433456</c:v>
              </c:pt>
              <c:pt idx="107">
                <c:v>0.61977186311787069</c:v>
              </c:pt>
              <c:pt idx="108">
                <c:v>0.60171102661596954</c:v>
              </c:pt>
              <c:pt idx="109">
                <c:v>0.64258555133079853</c:v>
              </c:pt>
              <c:pt idx="110">
                <c:v>0.66986564299424189</c:v>
              </c:pt>
              <c:pt idx="111">
                <c:v>0.61324376199616126</c:v>
              </c:pt>
              <c:pt idx="112">
                <c:v>0.63435700575815734</c:v>
              </c:pt>
              <c:pt idx="113">
                <c:v>0.60460652591170827</c:v>
              </c:pt>
              <c:pt idx="114">
                <c:v>0.61324376199616126</c:v>
              </c:pt>
              <c:pt idx="115">
                <c:v>0.6324376199616123</c:v>
              </c:pt>
              <c:pt idx="116">
                <c:v>0.64203454894433776</c:v>
              </c:pt>
              <c:pt idx="117">
                <c:v>0.64683301343570054</c:v>
              </c:pt>
              <c:pt idx="118">
                <c:v>0.76391554702495201</c:v>
              </c:pt>
              <c:pt idx="119">
                <c:v>0.73032629558541262</c:v>
              </c:pt>
              <c:pt idx="120">
                <c:v>0.73320537428023036</c:v>
              </c:pt>
              <c:pt idx="121">
                <c:v>0.69385796545105571</c:v>
              </c:pt>
              <c:pt idx="122">
                <c:v>0.67274472168905952</c:v>
              </c:pt>
              <c:pt idx="123">
                <c:v>0.69385796545105571</c:v>
              </c:pt>
              <c:pt idx="124">
                <c:v>0.7437619961612284</c:v>
              </c:pt>
              <c:pt idx="125">
                <c:v>0.71785028790786953</c:v>
              </c:pt>
              <c:pt idx="126">
                <c:v>0.68042226487523993</c:v>
              </c:pt>
              <c:pt idx="127">
                <c:v>0.7063339731285988</c:v>
              </c:pt>
              <c:pt idx="128">
                <c:v>0.73608445297504799</c:v>
              </c:pt>
              <c:pt idx="129">
                <c:v>0.74664107485604603</c:v>
              </c:pt>
              <c:pt idx="130">
                <c:v>0.75335892514395397</c:v>
              </c:pt>
              <c:pt idx="131">
                <c:v>0.72744721689059499</c:v>
              </c:pt>
              <c:pt idx="132">
                <c:v>0.67850287907869478</c:v>
              </c:pt>
              <c:pt idx="133">
                <c:v>0.78804347826086951</c:v>
              </c:pt>
              <c:pt idx="134">
                <c:v>0.7369565217391304</c:v>
              </c:pt>
              <c:pt idx="135">
                <c:v>0.74891304347826082</c:v>
              </c:pt>
              <c:pt idx="136">
                <c:v>0.76413043478260867</c:v>
              </c:pt>
              <c:pt idx="137">
                <c:v>0.7804347826086957</c:v>
              </c:pt>
              <c:pt idx="138">
                <c:v>0.76956521739130435</c:v>
              </c:pt>
              <c:pt idx="139">
                <c:v>0.7369565217391304</c:v>
              </c:pt>
              <c:pt idx="140">
                <c:v>0.74347826086956526</c:v>
              </c:pt>
              <c:pt idx="141">
                <c:v>0.74891304347826082</c:v>
              </c:pt>
              <c:pt idx="142">
                <c:v>0.80978260869565222</c:v>
              </c:pt>
              <c:pt idx="143">
                <c:v>0.83804347826086956</c:v>
              </c:pt>
              <c:pt idx="144">
                <c:v>0.87826086956521743</c:v>
              </c:pt>
              <c:pt idx="145">
                <c:v>0.90898876404494378</c:v>
              </c:pt>
              <c:pt idx="146">
                <c:v>0.85280898876404498</c:v>
              </c:pt>
              <c:pt idx="147">
                <c:v>0.8314606741573034</c:v>
              </c:pt>
              <c:pt idx="148">
                <c:v>0.69444444444444442</c:v>
              </c:pt>
              <c:pt idx="149">
                <c:v>0.68961352657004826</c:v>
              </c:pt>
              <c:pt idx="150">
                <c:v>0.72705314009661837</c:v>
              </c:pt>
              <c:pt idx="151">
                <c:v>0.84014423076923073</c:v>
              </c:pt>
              <c:pt idx="152">
                <c:v>0.88581730769230771</c:v>
              </c:pt>
              <c:pt idx="153">
                <c:v>0.83333333333333337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108-42E2-B02C-D4CFB3B052A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92868672"/>
        <c:axId val="392871024"/>
      </c:lineChart>
      <c:catAx>
        <c:axId val="3928686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871024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392871024"/>
        <c:scaling>
          <c:orientation val="minMax"/>
          <c:max val="1.3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86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[Occupancy Mei-Des 19.xlsx]PivotChartTable2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baseline="0">
                <a:effectLst/>
              </a:rPr>
              <a:t>Occupancy Mei-Juni 19 Lokal</a:t>
            </a:r>
            <a:endParaRPr lang="en-GB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Capacity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Lit>
              <c:ptCount val="155"/>
              <c:pt idx="0">
                <c:v>02/05/2019</c:v>
              </c:pt>
              <c:pt idx="1">
                <c:v>03/05/2019</c:v>
              </c:pt>
              <c:pt idx="2">
                <c:v>04/05/2019</c:v>
              </c:pt>
              <c:pt idx="3">
                <c:v>06/05/2019</c:v>
              </c:pt>
              <c:pt idx="4">
                <c:v>07/05/2019</c:v>
              </c:pt>
              <c:pt idx="5">
                <c:v>08/05/2019</c:v>
              </c:pt>
              <c:pt idx="6">
                <c:v>09/05/2019</c:v>
              </c:pt>
              <c:pt idx="7">
                <c:v>10/05/2019</c:v>
              </c:pt>
              <c:pt idx="8">
                <c:v>13/05/2019</c:v>
              </c:pt>
              <c:pt idx="9">
                <c:v>14/05/2019</c:v>
              </c:pt>
              <c:pt idx="10">
                <c:v>15/05/2019</c:v>
              </c:pt>
              <c:pt idx="11">
                <c:v>16/05/2019</c:v>
              </c:pt>
              <c:pt idx="12">
                <c:v>17/05/2019</c:v>
              </c:pt>
              <c:pt idx="13">
                <c:v>18/05/2019</c:v>
              </c:pt>
              <c:pt idx="14">
                <c:v>20/05/2019</c:v>
              </c:pt>
              <c:pt idx="15">
                <c:v>21/05/2019</c:v>
              </c:pt>
              <c:pt idx="16">
                <c:v>22/05/2019</c:v>
              </c:pt>
              <c:pt idx="17">
                <c:v>23/05/2019</c:v>
              </c:pt>
              <c:pt idx="18">
                <c:v>24/05/2019</c:v>
              </c:pt>
              <c:pt idx="19">
                <c:v>25/05/2019</c:v>
              </c:pt>
              <c:pt idx="20">
                <c:v>27/05/2019</c:v>
              </c:pt>
              <c:pt idx="21">
                <c:v>28/05/2019</c:v>
              </c:pt>
              <c:pt idx="22">
                <c:v>29/05/2019</c:v>
              </c:pt>
              <c:pt idx="23">
                <c:v>30/05/2019</c:v>
              </c:pt>
              <c:pt idx="24">
                <c:v>11/06/2019</c:v>
              </c:pt>
              <c:pt idx="25">
                <c:v>12/06/2019</c:v>
              </c:pt>
              <c:pt idx="26">
                <c:v>13/06/2019</c:v>
              </c:pt>
              <c:pt idx="27">
                <c:v>14/06/2019</c:v>
              </c:pt>
              <c:pt idx="28">
                <c:v>15/06/2019</c:v>
              </c:pt>
              <c:pt idx="29">
                <c:v>17/06/2019</c:v>
              </c:pt>
              <c:pt idx="30">
                <c:v>18/06/2019</c:v>
              </c:pt>
              <c:pt idx="31">
                <c:v>19/06/2019</c:v>
              </c:pt>
              <c:pt idx="32">
                <c:v>20/06/2019</c:v>
              </c:pt>
              <c:pt idx="33">
                <c:v>21/06/2019</c:v>
              </c:pt>
              <c:pt idx="34">
                <c:v>24/06/2019</c:v>
              </c:pt>
              <c:pt idx="35">
                <c:v>25/06/2019</c:v>
              </c:pt>
              <c:pt idx="36">
                <c:v>26/06/2019</c:v>
              </c:pt>
              <c:pt idx="37">
                <c:v>27/06/2019</c:v>
              </c:pt>
              <c:pt idx="38">
                <c:v>28/06/2019</c:v>
              </c:pt>
              <c:pt idx="39">
                <c:v>01/07/2019</c:v>
              </c:pt>
              <c:pt idx="40">
                <c:v>02/07/2019</c:v>
              </c:pt>
              <c:pt idx="41">
                <c:v>03/07/2019</c:v>
              </c:pt>
              <c:pt idx="42">
                <c:v>04/07/2019</c:v>
              </c:pt>
              <c:pt idx="43">
                <c:v>05/07/2019</c:v>
              </c:pt>
              <c:pt idx="44">
                <c:v>08/07/2019</c:v>
              </c:pt>
              <c:pt idx="45">
                <c:v>09/07/2019</c:v>
              </c:pt>
              <c:pt idx="46">
                <c:v>10/07/2019</c:v>
              </c:pt>
              <c:pt idx="47">
                <c:v>11/07/2019</c:v>
              </c:pt>
              <c:pt idx="48">
                <c:v>12/07/2019</c:v>
              </c:pt>
              <c:pt idx="49">
                <c:v>15/07/2019</c:v>
              </c:pt>
              <c:pt idx="50">
                <c:v>16/07/2019</c:v>
              </c:pt>
              <c:pt idx="51">
                <c:v>17/07/2019</c:v>
              </c:pt>
              <c:pt idx="52">
                <c:v>18/07/2019</c:v>
              </c:pt>
              <c:pt idx="53">
                <c:v>19/07/2019</c:v>
              </c:pt>
              <c:pt idx="54">
                <c:v>22/07/2019</c:v>
              </c:pt>
              <c:pt idx="55">
                <c:v>23/07/2019</c:v>
              </c:pt>
              <c:pt idx="56">
                <c:v>24/07/2019</c:v>
              </c:pt>
              <c:pt idx="57">
                <c:v>25/07/2019</c:v>
              </c:pt>
              <c:pt idx="58">
                <c:v>26/07/2019</c:v>
              </c:pt>
              <c:pt idx="59">
                <c:v>29/07/2019</c:v>
              </c:pt>
              <c:pt idx="60">
                <c:v>30/07/2019</c:v>
              </c:pt>
              <c:pt idx="61">
                <c:v>31/07/2019</c:v>
              </c:pt>
              <c:pt idx="62">
                <c:v>01/08/2019</c:v>
              </c:pt>
              <c:pt idx="63">
                <c:v>02/08/2019</c:v>
              </c:pt>
              <c:pt idx="64">
                <c:v>05/08/2019</c:v>
              </c:pt>
              <c:pt idx="65">
                <c:v>06/08/2019</c:v>
              </c:pt>
              <c:pt idx="66">
                <c:v>07/08/2019</c:v>
              </c:pt>
              <c:pt idx="67">
                <c:v>08/08/2019</c:v>
              </c:pt>
              <c:pt idx="68">
                <c:v>09/08/2019</c:v>
              </c:pt>
              <c:pt idx="69">
                <c:v>13/08/2019</c:v>
              </c:pt>
              <c:pt idx="70">
                <c:v>14/08/2019</c:v>
              </c:pt>
              <c:pt idx="71">
                <c:v>15/08/2019</c:v>
              </c:pt>
              <c:pt idx="72">
                <c:v>16/08/2019</c:v>
              </c:pt>
              <c:pt idx="73">
                <c:v>19/08/2019</c:v>
              </c:pt>
              <c:pt idx="74">
                <c:v>20/08/2019</c:v>
              </c:pt>
              <c:pt idx="75">
                <c:v>21/08/2019</c:v>
              </c:pt>
              <c:pt idx="76">
                <c:v>22/08/2019</c:v>
              </c:pt>
              <c:pt idx="77">
                <c:v>23/08/2019</c:v>
              </c:pt>
              <c:pt idx="78">
                <c:v>26/08/2019</c:v>
              </c:pt>
              <c:pt idx="79">
                <c:v>27/08/2019</c:v>
              </c:pt>
              <c:pt idx="80">
                <c:v>28/08/2019</c:v>
              </c:pt>
              <c:pt idx="81">
                <c:v>29/08/2019</c:v>
              </c:pt>
              <c:pt idx="82">
                <c:v>02/09/2019</c:v>
              </c:pt>
              <c:pt idx="83">
                <c:v>03/09/2019</c:v>
              </c:pt>
              <c:pt idx="84">
                <c:v>04/09/2019</c:v>
              </c:pt>
              <c:pt idx="85">
                <c:v>05/09/2019</c:v>
              </c:pt>
              <c:pt idx="86">
                <c:v>06/09/2019</c:v>
              </c:pt>
              <c:pt idx="87">
                <c:v>09/09/2019</c:v>
              </c:pt>
              <c:pt idx="88">
                <c:v>10/09/2019</c:v>
              </c:pt>
              <c:pt idx="89">
                <c:v>11/09/2019</c:v>
              </c:pt>
              <c:pt idx="90">
                <c:v>12/09/2019</c:v>
              </c:pt>
              <c:pt idx="91">
                <c:v>13/09/2019</c:v>
              </c:pt>
              <c:pt idx="92">
                <c:v>16/09/2019</c:v>
              </c:pt>
              <c:pt idx="93">
                <c:v>17/09/2019</c:v>
              </c:pt>
              <c:pt idx="94">
                <c:v>18/09/2019</c:v>
              </c:pt>
              <c:pt idx="95">
                <c:v>19/09/2019</c:v>
              </c:pt>
              <c:pt idx="96">
                <c:v>20/09/2019</c:v>
              </c:pt>
              <c:pt idx="97">
                <c:v>23/09/2019</c:v>
              </c:pt>
              <c:pt idx="98">
                <c:v>24/09/2019</c:v>
              </c:pt>
              <c:pt idx="99">
                <c:v>25/09/2019</c:v>
              </c:pt>
              <c:pt idx="100">
                <c:v>26/09/2019</c:v>
              </c:pt>
              <c:pt idx="101">
                <c:v>27/09/2019</c:v>
              </c:pt>
              <c:pt idx="102">
                <c:v>30/09/2019</c:v>
              </c:pt>
              <c:pt idx="103">
                <c:v>01/10/2019</c:v>
              </c:pt>
              <c:pt idx="104">
                <c:v>02/10/2019</c:v>
              </c:pt>
              <c:pt idx="105">
                <c:v>03/10/2019</c:v>
              </c:pt>
              <c:pt idx="106">
                <c:v>04/10/2019</c:v>
              </c:pt>
              <c:pt idx="107">
                <c:v>10/10/2019</c:v>
              </c:pt>
              <c:pt idx="108">
                <c:v>11/10/2019</c:v>
              </c:pt>
              <c:pt idx="109">
                <c:v>14/10/2019</c:v>
              </c:pt>
              <c:pt idx="110">
                <c:v>15/10/2019</c:v>
              </c:pt>
              <c:pt idx="111">
                <c:v>16/10/2019</c:v>
              </c:pt>
              <c:pt idx="112">
                <c:v>17/10/2019</c:v>
              </c:pt>
              <c:pt idx="113">
                <c:v>18/10/2019</c:v>
              </c:pt>
              <c:pt idx="114">
                <c:v>21/10/2019</c:v>
              </c:pt>
              <c:pt idx="115">
                <c:v>22/10/2019</c:v>
              </c:pt>
              <c:pt idx="116">
                <c:v>23/10/2019</c:v>
              </c:pt>
              <c:pt idx="117">
                <c:v>24/10/2019</c:v>
              </c:pt>
              <c:pt idx="118">
                <c:v>25/10/2019</c:v>
              </c:pt>
              <c:pt idx="119">
                <c:v>28/10/2019</c:v>
              </c:pt>
              <c:pt idx="120">
                <c:v>29/10/2019</c:v>
              </c:pt>
              <c:pt idx="121">
                <c:v>30/10/2019</c:v>
              </c:pt>
              <c:pt idx="122">
                <c:v>31/10/2019</c:v>
              </c:pt>
              <c:pt idx="123">
                <c:v>01/11/2019</c:v>
              </c:pt>
              <c:pt idx="124">
                <c:v>04/11/2019</c:v>
              </c:pt>
              <c:pt idx="125">
                <c:v>05/11/2019</c:v>
              </c:pt>
              <c:pt idx="126">
                <c:v>06/11/2019</c:v>
              </c:pt>
              <c:pt idx="127">
                <c:v>07/11/2019</c:v>
              </c:pt>
              <c:pt idx="128">
                <c:v>08/11/2019</c:v>
              </c:pt>
              <c:pt idx="129">
                <c:v>11/11/2019</c:v>
              </c:pt>
              <c:pt idx="130">
                <c:v>12/11/2019</c:v>
              </c:pt>
              <c:pt idx="131">
                <c:v>13/11/2019</c:v>
              </c:pt>
              <c:pt idx="132">
                <c:v>14/11/2019</c:v>
              </c:pt>
              <c:pt idx="133">
                <c:v>15/11/2019</c:v>
              </c:pt>
              <c:pt idx="134">
                <c:v>18/11/2019</c:v>
              </c:pt>
              <c:pt idx="135">
                <c:v>19/11/2019</c:v>
              </c:pt>
              <c:pt idx="136">
                <c:v>20/11/2019</c:v>
              </c:pt>
              <c:pt idx="137">
                <c:v>21/11/2019</c:v>
              </c:pt>
              <c:pt idx="138">
                <c:v>22/11/2019</c:v>
              </c:pt>
              <c:pt idx="139">
                <c:v>25/11/2019</c:v>
              </c:pt>
              <c:pt idx="140">
                <c:v>26/11/2019</c:v>
              </c:pt>
              <c:pt idx="141">
                <c:v>27/11/2019</c:v>
              </c:pt>
              <c:pt idx="142">
                <c:v>28/11/2019</c:v>
              </c:pt>
              <c:pt idx="143">
                <c:v>29/11/2019</c:v>
              </c:pt>
              <c:pt idx="144">
                <c:v>02/12/2019</c:v>
              </c:pt>
              <c:pt idx="145">
                <c:v>03/12/2019</c:v>
              </c:pt>
              <c:pt idx="146">
                <c:v>04/12/2019</c:v>
              </c:pt>
              <c:pt idx="147">
                <c:v>05/12/2019</c:v>
              </c:pt>
              <c:pt idx="148">
                <c:v>06/12/2019</c:v>
              </c:pt>
              <c:pt idx="149">
                <c:v>09/12/2019</c:v>
              </c:pt>
              <c:pt idx="150">
                <c:v>10/12/2019</c:v>
              </c:pt>
              <c:pt idx="151">
                <c:v>11/12/2019</c:v>
              </c:pt>
              <c:pt idx="152">
                <c:v>12/12/2019</c:v>
              </c:pt>
              <c:pt idx="153">
                <c:v>13/12/2019</c:v>
              </c:pt>
              <c:pt idx="154">
                <c:v>16/12/2019</c:v>
              </c:pt>
            </c:strLit>
          </c:cat>
          <c:val>
            <c:numLit>
              <c:formatCode>General</c:formatCode>
              <c:ptCount val="15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  <c:pt idx="52">
                <c:v>1</c:v>
              </c:pt>
              <c:pt idx="53">
                <c:v>1</c:v>
              </c:pt>
              <c:pt idx="54">
                <c:v>1</c:v>
              </c:pt>
              <c:pt idx="55">
                <c:v>1</c:v>
              </c:pt>
              <c:pt idx="56">
                <c:v>1</c:v>
              </c:pt>
              <c:pt idx="57">
                <c:v>1</c:v>
              </c:pt>
              <c:pt idx="58">
                <c:v>1</c:v>
              </c:pt>
              <c:pt idx="59">
                <c:v>1</c:v>
              </c:pt>
              <c:pt idx="60">
                <c:v>1</c:v>
              </c:pt>
              <c:pt idx="61">
                <c:v>1</c:v>
              </c:pt>
              <c:pt idx="62">
                <c:v>1</c:v>
              </c:pt>
              <c:pt idx="63">
                <c:v>1</c:v>
              </c:pt>
              <c:pt idx="64">
                <c:v>1</c:v>
              </c:pt>
              <c:pt idx="65">
                <c:v>1</c:v>
              </c:pt>
              <c:pt idx="66">
                <c:v>1</c:v>
              </c:pt>
              <c:pt idx="67">
                <c:v>1</c:v>
              </c:pt>
              <c:pt idx="68">
                <c:v>1</c:v>
              </c:pt>
              <c:pt idx="69">
                <c:v>1</c:v>
              </c:pt>
              <c:pt idx="70">
                <c:v>1</c:v>
              </c:pt>
              <c:pt idx="71">
                <c:v>1</c:v>
              </c:pt>
              <c:pt idx="72">
                <c:v>1</c:v>
              </c:pt>
              <c:pt idx="73">
                <c:v>1</c:v>
              </c:pt>
              <c:pt idx="74">
                <c:v>1</c:v>
              </c:pt>
              <c:pt idx="75">
                <c:v>1</c:v>
              </c:pt>
              <c:pt idx="76">
                <c:v>1</c:v>
              </c:pt>
              <c:pt idx="77">
                <c:v>1</c:v>
              </c:pt>
              <c:pt idx="78">
                <c:v>1</c:v>
              </c:pt>
              <c:pt idx="79">
                <c:v>1</c:v>
              </c:pt>
              <c:pt idx="80">
                <c:v>1</c:v>
              </c:pt>
              <c:pt idx="81">
                <c:v>1</c:v>
              </c:pt>
              <c:pt idx="82">
                <c:v>1</c:v>
              </c:pt>
              <c:pt idx="83">
                <c:v>1</c:v>
              </c:pt>
              <c:pt idx="84">
                <c:v>1</c:v>
              </c:pt>
              <c:pt idx="85">
                <c:v>1</c:v>
              </c:pt>
              <c:pt idx="86">
                <c:v>1</c:v>
              </c:pt>
              <c:pt idx="87">
                <c:v>1</c:v>
              </c:pt>
              <c:pt idx="88">
                <c:v>1</c:v>
              </c:pt>
              <c:pt idx="89">
                <c:v>1</c:v>
              </c:pt>
              <c:pt idx="90">
                <c:v>1</c:v>
              </c:pt>
              <c:pt idx="91">
                <c:v>1</c:v>
              </c:pt>
              <c:pt idx="92">
                <c:v>1</c:v>
              </c:pt>
              <c:pt idx="93">
                <c:v>1</c:v>
              </c:pt>
              <c:pt idx="94">
                <c:v>1</c:v>
              </c:pt>
              <c:pt idx="95">
                <c:v>1</c:v>
              </c:pt>
              <c:pt idx="96">
                <c:v>1</c:v>
              </c:pt>
              <c:pt idx="97">
                <c:v>1</c:v>
              </c:pt>
              <c:pt idx="98">
                <c:v>1</c:v>
              </c:pt>
              <c:pt idx="99">
                <c:v>1</c:v>
              </c:pt>
              <c:pt idx="100">
                <c:v>1</c:v>
              </c:pt>
              <c:pt idx="101">
                <c:v>1</c:v>
              </c:pt>
              <c:pt idx="102">
                <c:v>1</c:v>
              </c:pt>
              <c:pt idx="103">
                <c:v>1</c:v>
              </c:pt>
              <c:pt idx="104">
                <c:v>1</c:v>
              </c:pt>
              <c:pt idx="105">
                <c:v>1</c:v>
              </c:pt>
              <c:pt idx="106">
                <c:v>1</c:v>
              </c:pt>
              <c:pt idx="107">
                <c:v>1</c:v>
              </c:pt>
              <c:pt idx="108">
                <c:v>1</c:v>
              </c:pt>
              <c:pt idx="109">
                <c:v>1</c:v>
              </c:pt>
              <c:pt idx="110">
                <c:v>1</c:v>
              </c:pt>
              <c:pt idx="111">
                <c:v>1</c:v>
              </c:pt>
              <c:pt idx="112">
                <c:v>1</c:v>
              </c:pt>
              <c:pt idx="113">
                <c:v>1</c:v>
              </c:pt>
              <c:pt idx="114">
                <c:v>1</c:v>
              </c:pt>
              <c:pt idx="115">
                <c:v>1</c:v>
              </c:pt>
              <c:pt idx="116">
                <c:v>1</c:v>
              </c:pt>
              <c:pt idx="117">
                <c:v>1</c:v>
              </c:pt>
              <c:pt idx="118">
                <c:v>1</c:v>
              </c:pt>
              <c:pt idx="119">
                <c:v>1</c:v>
              </c:pt>
              <c:pt idx="120">
                <c:v>1</c:v>
              </c:pt>
              <c:pt idx="121">
                <c:v>1</c:v>
              </c:pt>
              <c:pt idx="122">
                <c:v>1</c:v>
              </c:pt>
              <c:pt idx="123">
                <c:v>1</c:v>
              </c:pt>
              <c:pt idx="124">
                <c:v>1</c:v>
              </c:pt>
              <c:pt idx="125">
                <c:v>1</c:v>
              </c:pt>
              <c:pt idx="126">
                <c:v>1</c:v>
              </c:pt>
              <c:pt idx="127">
                <c:v>1</c:v>
              </c:pt>
              <c:pt idx="128">
                <c:v>1</c:v>
              </c:pt>
              <c:pt idx="129">
                <c:v>1</c:v>
              </c:pt>
              <c:pt idx="130">
                <c:v>1</c:v>
              </c:pt>
              <c:pt idx="131">
                <c:v>1</c:v>
              </c:pt>
              <c:pt idx="132">
                <c:v>1</c:v>
              </c:pt>
              <c:pt idx="133">
                <c:v>1</c:v>
              </c:pt>
              <c:pt idx="134">
                <c:v>1</c:v>
              </c:pt>
              <c:pt idx="135">
                <c:v>1</c:v>
              </c:pt>
              <c:pt idx="136">
                <c:v>1</c:v>
              </c:pt>
              <c:pt idx="137">
                <c:v>1</c:v>
              </c:pt>
              <c:pt idx="138">
                <c:v>1</c:v>
              </c:pt>
              <c:pt idx="139">
                <c:v>1</c:v>
              </c:pt>
              <c:pt idx="140">
                <c:v>1</c:v>
              </c:pt>
              <c:pt idx="141">
                <c:v>1</c:v>
              </c:pt>
              <c:pt idx="142">
                <c:v>1</c:v>
              </c:pt>
              <c:pt idx="143">
                <c:v>1</c:v>
              </c:pt>
              <c:pt idx="144">
                <c:v>1</c:v>
              </c:pt>
              <c:pt idx="145">
                <c:v>1</c:v>
              </c:pt>
              <c:pt idx="146">
                <c:v>1</c:v>
              </c:pt>
              <c:pt idx="147">
                <c:v>1</c:v>
              </c:pt>
              <c:pt idx="148">
                <c:v>1</c:v>
              </c:pt>
              <c:pt idx="149">
                <c:v>1</c:v>
              </c:pt>
              <c:pt idx="150">
                <c:v>1</c:v>
              </c:pt>
              <c:pt idx="151">
                <c:v>1</c:v>
              </c:pt>
              <c:pt idx="152">
                <c:v>1</c:v>
              </c:pt>
              <c:pt idx="153">
                <c:v>1</c:v>
              </c:pt>
              <c:pt idx="154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08D-405C-99D9-5CAE9848BA59}"/>
            </c:ext>
          </c:extLst>
        </c:ser>
        <c:ser>
          <c:idx val="1"/>
          <c:order val="1"/>
          <c:tx>
            <c:v>Occupancy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155"/>
              <c:pt idx="0">
                <c:v>02/05/2019</c:v>
              </c:pt>
              <c:pt idx="1">
                <c:v>03/05/2019</c:v>
              </c:pt>
              <c:pt idx="2">
                <c:v>04/05/2019</c:v>
              </c:pt>
              <c:pt idx="3">
                <c:v>06/05/2019</c:v>
              </c:pt>
              <c:pt idx="4">
                <c:v>07/05/2019</c:v>
              </c:pt>
              <c:pt idx="5">
                <c:v>08/05/2019</c:v>
              </c:pt>
              <c:pt idx="6">
                <c:v>09/05/2019</c:v>
              </c:pt>
              <c:pt idx="7">
                <c:v>10/05/2019</c:v>
              </c:pt>
              <c:pt idx="8">
                <c:v>13/05/2019</c:v>
              </c:pt>
              <c:pt idx="9">
                <c:v>14/05/2019</c:v>
              </c:pt>
              <c:pt idx="10">
                <c:v>15/05/2019</c:v>
              </c:pt>
              <c:pt idx="11">
                <c:v>16/05/2019</c:v>
              </c:pt>
              <c:pt idx="12">
                <c:v>17/05/2019</c:v>
              </c:pt>
              <c:pt idx="13">
                <c:v>18/05/2019</c:v>
              </c:pt>
              <c:pt idx="14">
                <c:v>20/05/2019</c:v>
              </c:pt>
              <c:pt idx="15">
                <c:v>21/05/2019</c:v>
              </c:pt>
              <c:pt idx="16">
                <c:v>22/05/2019</c:v>
              </c:pt>
              <c:pt idx="17">
                <c:v>23/05/2019</c:v>
              </c:pt>
              <c:pt idx="18">
                <c:v>24/05/2019</c:v>
              </c:pt>
              <c:pt idx="19">
                <c:v>25/05/2019</c:v>
              </c:pt>
              <c:pt idx="20">
                <c:v>27/05/2019</c:v>
              </c:pt>
              <c:pt idx="21">
                <c:v>28/05/2019</c:v>
              </c:pt>
              <c:pt idx="22">
                <c:v>29/05/2019</c:v>
              </c:pt>
              <c:pt idx="23">
                <c:v>30/05/2019</c:v>
              </c:pt>
              <c:pt idx="24">
                <c:v>11/06/2019</c:v>
              </c:pt>
              <c:pt idx="25">
                <c:v>12/06/2019</c:v>
              </c:pt>
              <c:pt idx="26">
                <c:v>13/06/2019</c:v>
              </c:pt>
              <c:pt idx="27">
                <c:v>14/06/2019</c:v>
              </c:pt>
              <c:pt idx="28">
                <c:v>15/06/2019</c:v>
              </c:pt>
              <c:pt idx="29">
                <c:v>17/06/2019</c:v>
              </c:pt>
              <c:pt idx="30">
                <c:v>18/06/2019</c:v>
              </c:pt>
              <c:pt idx="31">
                <c:v>19/06/2019</c:v>
              </c:pt>
              <c:pt idx="32">
                <c:v>20/06/2019</c:v>
              </c:pt>
              <c:pt idx="33">
                <c:v>21/06/2019</c:v>
              </c:pt>
              <c:pt idx="34">
                <c:v>24/06/2019</c:v>
              </c:pt>
              <c:pt idx="35">
                <c:v>25/06/2019</c:v>
              </c:pt>
              <c:pt idx="36">
                <c:v>26/06/2019</c:v>
              </c:pt>
              <c:pt idx="37">
                <c:v>27/06/2019</c:v>
              </c:pt>
              <c:pt idx="38">
                <c:v>28/06/2019</c:v>
              </c:pt>
              <c:pt idx="39">
                <c:v>01/07/2019</c:v>
              </c:pt>
              <c:pt idx="40">
                <c:v>02/07/2019</c:v>
              </c:pt>
              <c:pt idx="41">
                <c:v>03/07/2019</c:v>
              </c:pt>
              <c:pt idx="42">
                <c:v>04/07/2019</c:v>
              </c:pt>
              <c:pt idx="43">
                <c:v>05/07/2019</c:v>
              </c:pt>
              <c:pt idx="44">
                <c:v>08/07/2019</c:v>
              </c:pt>
              <c:pt idx="45">
                <c:v>09/07/2019</c:v>
              </c:pt>
              <c:pt idx="46">
                <c:v>10/07/2019</c:v>
              </c:pt>
              <c:pt idx="47">
                <c:v>11/07/2019</c:v>
              </c:pt>
              <c:pt idx="48">
                <c:v>12/07/2019</c:v>
              </c:pt>
              <c:pt idx="49">
                <c:v>15/07/2019</c:v>
              </c:pt>
              <c:pt idx="50">
                <c:v>16/07/2019</c:v>
              </c:pt>
              <c:pt idx="51">
                <c:v>17/07/2019</c:v>
              </c:pt>
              <c:pt idx="52">
                <c:v>18/07/2019</c:v>
              </c:pt>
              <c:pt idx="53">
                <c:v>19/07/2019</c:v>
              </c:pt>
              <c:pt idx="54">
                <c:v>22/07/2019</c:v>
              </c:pt>
              <c:pt idx="55">
                <c:v>23/07/2019</c:v>
              </c:pt>
              <c:pt idx="56">
                <c:v>24/07/2019</c:v>
              </c:pt>
              <c:pt idx="57">
                <c:v>25/07/2019</c:v>
              </c:pt>
              <c:pt idx="58">
                <c:v>26/07/2019</c:v>
              </c:pt>
              <c:pt idx="59">
                <c:v>29/07/2019</c:v>
              </c:pt>
              <c:pt idx="60">
                <c:v>30/07/2019</c:v>
              </c:pt>
              <c:pt idx="61">
                <c:v>31/07/2019</c:v>
              </c:pt>
              <c:pt idx="62">
                <c:v>01/08/2019</c:v>
              </c:pt>
              <c:pt idx="63">
                <c:v>02/08/2019</c:v>
              </c:pt>
              <c:pt idx="64">
                <c:v>05/08/2019</c:v>
              </c:pt>
              <c:pt idx="65">
                <c:v>06/08/2019</c:v>
              </c:pt>
              <c:pt idx="66">
                <c:v>07/08/2019</c:v>
              </c:pt>
              <c:pt idx="67">
                <c:v>08/08/2019</c:v>
              </c:pt>
              <c:pt idx="68">
                <c:v>09/08/2019</c:v>
              </c:pt>
              <c:pt idx="69">
                <c:v>13/08/2019</c:v>
              </c:pt>
              <c:pt idx="70">
                <c:v>14/08/2019</c:v>
              </c:pt>
              <c:pt idx="71">
                <c:v>15/08/2019</c:v>
              </c:pt>
              <c:pt idx="72">
                <c:v>16/08/2019</c:v>
              </c:pt>
              <c:pt idx="73">
                <c:v>19/08/2019</c:v>
              </c:pt>
              <c:pt idx="74">
                <c:v>20/08/2019</c:v>
              </c:pt>
              <c:pt idx="75">
                <c:v>21/08/2019</c:v>
              </c:pt>
              <c:pt idx="76">
                <c:v>22/08/2019</c:v>
              </c:pt>
              <c:pt idx="77">
                <c:v>23/08/2019</c:v>
              </c:pt>
              <c:pt idx="78">
                <c:v>26/08/2019</c:v>
              </c:pt>
              <c:pt idx="79">
                <c:v>27/08/2019</c:v>
              </c:pt>
              <c:pt idx="80">
                <c:v>28/08/2019</c:v>
              </c:pt>
              <c:pt idx="81">
                <c:v>29/08/2019</c:v>
              </c:pt>
              <c:pt idx="82">
                <c:v>02/09/2019</c:v>
              </c:pt>
              <c:pt idx="83">
                <c:v>03/09/2019</c:v>
              </c:pt>
              <c:pt idx="84">
                <c:v>04/09/2019</c:v>
              </c:pt>
              <c:pt idx="85">
                <c:v>05/09/2019</c:v>
              </c:pt>
              <c:pt idx="86">
                <c:v>06/09/2019</c:v>
              </c:pt>
              <c:pt idx="87">
                <c:v>09/09/2019</c:v>
              </c:pt>
              <c:pt idx="88">
                <c:v>10/09/2019</c:v>
              </c:pt>
              <c:pt idx="89">
                <c:v>11/09/2019</c:v>
              </c:pt>
              <c:pt idx="90">
                <c:v>12/09/2019</c:v>
              </c:pt>
              <c:pt idx="91">
                <c:v>13/09/2019</c:v>
              </c:pt>
              <c:pt idx="92">
                <c:v>16/09/2019</c:v>
              </c:pt>
              <c:pt idx="93">
                <c:v>17/09/2019</c:v>
              </c:pt>
              <c:pt idx="94">
                <c:v>18/09/2019</c:v>
              </c:pt>
              <c:pt idx="95">
                <c:v>19/09/2019</c:v>
              </c:pt>
              <c:pt idx="96">
                <c:v>20/09/2019</c:v>
              </c:pt>
              <c:pt idx="97">
                <c:v>23/09/2019</c:v>
              </c:pt>
              <c:pt idx="98">
                <c:v>24/09/2019</c:v>
              </c:pt>
              <c:pt idx="99">
                <c:v>25/09/2019</c:v>
              </c:pt>
              <c:pt idx="100">
                <c:v>26/09/2019</c:v>
              </c:pt>
              <c:pt idx="101">
                <c:v>27/09/2019</c:v>
              </c:pt>
              <c:pt idx="102">
                <c:v>30/09/2019</c:v>
              </c:pt>
              <c:pt idx="103">
                <c:v>01/10/2019</c:v>
              </c:pt>
              <c:pt idx="104">
                <c:v>02/10/2019</c:v>
              </c:pt>
              <c:pt idx="105">
                <c:v>03/10/2019</c:v>
              </c:pt>
              <c:pt idx="106">
                <c:v>04/10/2019</c:v>
              </c:pt>
              <c:pt idx="107">
                <c:v>10/10/2019</c:v>
              </c:pt>
              <c:pt idx="108">
                <c:v>11/10/2019</c:v>
              </c:pt>
              <c:pt idx="109">
                <c:v>14/10/2019</c:v>
              </c:pt>
              <c:pt idx="110">
                <c:v>15/10/2019</c:v>
              </c:pt>
              <c:pt idx="111">
                <c:v>16/10/2019</c:v>
              </c:pt>
              <c:pt idx="112">
                <c:v>17/10/2019</c:v>
              </c:pt>
              <c:pt idx="113">
                <c:v>18/10/2019</c:v>
              </c:pt>
              <c:pt idx="114">
                <c:v>21/10/2019</c:v>
              </c:pt>
              <c:pt idx="115">
                <c:v>22/10/2019</c:v>
              </c:pt>
              <c:pt idx="116">
                <c:v>23/10/2019</c:v>
              </c:pt>
              <c:pt idx="117">
                <c:v>24/10/2019</c:v>
              </c:pt>
              <c:pt idx="118">
                <c:v>25/10/2019</c:v>
              </c:pt>
              <c:pt idx="119">
                <c:v>28/10/2019</c:v>
              </c:pt>
              <c:pt idx="120">
                <c:v>29/10/2019</c:v>
              </c:pt>
              <c:pt idx="121">
                <c:v>30/10/2019</c:v>
              </c:pt>
              <c:pt idx="122">
                <c:v>31/10/2019</c:v>
              </c:pt>
              <c:pt idx="123">
                <c:v>01/11/2019</c:v>
              </c:pt>
              <c:pt idx="124">
                <c:v>04/11/2019</c:v>
              </c:pt>
              <c:pt idx="125">
                <c:v>05/11/2019</c:v>
              </c:pt>
              <c:pt idx="126">
                <c:v>06/11/2019</c:v>
              </c:pt>
              <c:pt idx="127">
                <c:v>07/11/2019</c:v>
              </c:pt>
              <c:pt idx="128">
                <c:v>08/11/2019</c:v>
              </c:pt>
              <c:pt idx="129">
                <c:v>11/11/2019</c:v>
              </c:pt>
              <c:pt idx="130">
                <c:v>12/11/2019</c:v>
              </c:pt>
              <c:pt idx="131">
                <c:v>13/11/2019</c:v>
              </c:pt>
              <c:pt idx="132">
                <c:v>14/11/2019</c:v>
              </c:pt>
              <c:pt idx="133">
                <c:v>15/11/2019</c:v>
              </c:pt>
              <c:pt idx="134">
                <c:v>18/11/2019</c:v>
              </c:pt>
              <c:pt idx="135">
                <c:v>19/11/2019</c:v>
              </c:pt>
              <c:pt idx="136">
                <c:v>20/11/2019</c:v>
              </c:pt>
              <c:pt idx="137">
                <c:v>21/11/2019</c:v>
              </c:pt>
              <c:pt idx="138">
                <c:v>22/11/2019</c:v>
              </c:pt>
              <c:pt idx="139">
                <c:v>25/11/2019</c:v>
              </c:pt>
              <c:pt idx="140">
                <c:v>26/11/2019</c:v>
              </c:pt>
              <c:pt idx="141">
                <c:v>27/11/2019</c:v>
              </c:pt>
              <c:pt idx="142">
                <c:v>28/11/2019</c:v>
              </c:pt>
              <c:pt idx="143">
                <c:v>29/11/2019</c:v>
              </c:pt>
              <c:pt idx="144">
                <c:v>02/12/2019</c:v>
              </c:pt>
              <c:pt idx="145">
                <c:v>03/12/2019</c:v>
              </c:pt>
              <c:pt idx="146">
                <c:v>04/12/2019</c:v>
              </c:pt>
              <c:pt idx="147">
                <c:v>05/12/2019</c:v>
              </c:pt>
              <c:pt idx="148">
                <c:v>06/12/2019</c:v>
              </c:pt>
              <c:pt idx="149">
                <c:v>09/12/2019</c:v>
              </c:pt>
              <c:pt idx="150">
                <c:v>10/12/2019</c:v>
              </c:pt>
              <c:pt idx="151">
                <c:v>11/12/2019</c:v>
              </c:pt>
              <c:pt idx="152">
                <c:v>12/12/2019</c:v>
              </c:pt>
              <c:pt idx="153">
                <c:v>13/12/2019</c:v>
              </c:pt>
              <c:pt idx="154">
                <c:v>16/12/2019</c:v>
              </c:pt>
            </c:strLit>
          </c:cat>
          <c:val>
            <c:numLit>
              <c:formatCode>General</c:formatCode>
              <c:ptCount val="155"/>
              <c:pt idx="0">
                <c:v>0.80339805825242716</c:v>
              </c:pt>
              <c:pt idx="1">
                <c:v>0.76941747572815533</c:v>
              </c:pt>
              <c:pt idx="2">
                <c:v>0.90291262135922334</c:v>
              </c:pt>
              <c:pt idx="3">
                <c:v>1.0339805825242718</c:v>
              </c:pt>
              <c:pt idx="4">
                <c:v>0.92961165048543692</c:v>
              </c:pt>
              <c:pt idx="5">
                <c:v>0.74757281553398058</c:v>
              </c:pt>
              <c:pt idx="6">
                <c:v>0.75485436893203883</c:v>
              </c:pt>
              <c:pt idx="7">
                <c:v>0.62378640776699024</c:v>
              </c:pt>
              <c:pt idx="8">
                <c:v>0.72330097087378642</c:v>
              </c:pt>
              <c:pt idx="9">
                <c:v>0.83737864077669899</c:v>
              </c:pt>
              <c:pt idx="10">
                <c:v>0.81067961165048541</c:v>
              </c:pt>
              <c:pt idx="11">
                <c:v>0.82281553398058249</c:v>
              </c:pt>
              <c:pt idx="12">
                <c:v>0.6310679611650486</c:v>
              </c:pt>
              <c:pt idx="13">
                <c:v>0.60679611650485432</c:v>
              </c:pt>
              <c:pt idx="14">
                <c:v>0.89805825242718451</c:v>
              </c:pt>
              <c:pt idx="15">
                <c:v>0.93446601941747576</c:v>
              </c:pt>
              <c:pt idx="16">
                <c:v>0.84951456310679607</c:v>
              </c:pt>
              <c:pt idx="17">
                <c:v>0.75728155339805825</c:v>
              </c:pt>
              <c:pt idx="18">
                <c:v>0.91504854368932043</c:v>
              </c:pt>
              <c:pt idx="19">
                <c:v>0.91019417475728159</c:v>
              </c:pt>
              <c:pt idx="20">
                <c:v>0.96116504854368934</c:v>
              </c:pt>
              <c:pt idx="21">
                <c:v>0.95873786407766992</c:v>
              </c:pt>
              <c:pt idx="22">
                <c:v>0.96844660194174759</c:v>
              </c:pt>
              <c:pt idx="23">
                <c:v>0.87864077669902918</c:v>
              </c:pt>
              <c:pt idx="24">
                <c:v>0.85679611650485432</c:v>
              </c:pt>
              <c:pt idx="25">
                <c:v>0.7354368932038835</c:v>
              </c:pt>
              <c:pt idx="26">
                <c:v>0.62864077669902918</c:v>
              </c:pt>
              <c:pt idx="27">
                <c:v>0.6371308016877637</c:v>
              </c:pt>
              <c:pt idx="28">
                <c:v>0.69831223628691985</c:v>
              </c:pt>
              <c:pt idx="29">
                <c:v>0.96835443037974689</c:v>
              </c:pt>
              <c:pt idx="30">
                <c:v>0.58860759493670889</c:v>
              </c:pt>
              <c:pt idx="31">
                <c:v>0.8102466793168881</c:v>
              </c:pt>
              <c:pt idx="32">
                <c:v>0.81783681214421255</c:v>
              </c:pt>
              <c:pt idx="33">
                <c:v>0.90835030549898166</c:v>
              </c:pt>
              <c:pt idx="34">
                <c:v>0.98574338085539714</c:v>
              </c:pt>
              <c:pt idx="35">
                <c:v>1.0361904761904761</c:v>
              </c:pt>
              <c:pt idx="36">
                <c:v>1.0209523809523811</c:v>
              </c:pt>
              <c:pt idx="37">
                <c:v>0.96601073345259392</c:v>
              </c:pt>
              <c:pt idx="38">
                <c:v>0.98857142857142855</c:v>
              </c:pt>
              <c:pt idx="39">
                <c:v>1.0990476190476191</c:v>
              </c:pt>
              <c:pt idx="40">
                <c:v>0.89633173843700165</c:v>
              </c:pt>
              <c:pt idx="41">
                <c:v>0.79248658318425758</c:v>
              </c:pt>
              <c:pt idx="42">
                <c:v>0.78890876565295165</c:v>
              </c:pt>
              <c:pt idx="43">
                <c:v>0.75706214689265539</c:v>
              </c:pt>
              <c:pt idx="44">
                <c:v>0.72881355932203384</c:v>
              </c:pt>
              <c:pt idx="45">
                <c:v>0.80790960451977401</c:v>
              </c:pt>
              <c:pt idx="46">
                <c:v>0.8192090395480226</c:v>
              </c:pt>
              <c:pt idx="47">
                <c:v>0.66846846846846841</c:v>
              </c:pt>
              <c:pt idx="48">
                <c:v>0.59639639639639641</c:v>
              </c:pt>
              <c:pt idx="49">
                <c:v>0.60540540540540544</c:v>
              </c:pt>
              <c:pt idx="50">
                <c:v>0.58198198198198203</c:v>
              </c:pt>
              <c:pt idx="51">
                <c:v>0.63963963963963966</c:v>
              </c:pt>
              <c:pt idx="52">
                <c:v>0.5855855855855856</c:v>
              </c:pt>
              <c:pt idx="53">
                <c:v>0.50450450450450446</c:v>
              </c:pt>
              <c:pt idx="54">
                <c:v>0.52022058823529416</c:v>
              </c:pt>
              <c:pt idx="55">
                <c:v>0.4577205882352941</c:v>
              </c:pt>
              <c:pt idx="56">
                <c:v>0.45220588235294118</c:v>
              </c:pt>
              <c:pt idx="57">
                <c:v>0.61213235294117652</c:v>
              </c:pt>
              <c:pt idx="58">
                <c:v>0.57904411764705888</c:v>
              </c:pt>
              <c:pt idx="59">
                <c:v>0.51470588235294112</c:v>
              </c:pt>
              <c:pt idx="60">
                <c:v>0.47058823529411764</c:v>
              </c:pt>
              <c:pt idx="61">
                <c:v>0.56985294117647056</c:v>
              </c:pt>
              <c:pt idx="62">
                <c:v>0.54411764705882348</c:v>
              </c:pt>
              <c:pt idx="63">
                <c:v>0.49632352941176472</c:v>
              </c:pt>
              <c:pt idx="64">
                <c:v>0.58088235294117652</c:v>
              </c:pt>
              <c:pt idx="65">
                <c:v>0.5533088235294118</c:v>
              </c:pt>
              <c:pt idx="66">
                <c:v>0.7095588235294118</c:v>
              </c:pt>
              <c:pt idx="67">
                <c:v>0.81066176470588236</c:v>
              </c:pt>
              <c:pt idx="68">
                <c:v>0.72058823529411764</c:v>
              </c:pt>
              <c:pt idx="69">
                <c:v>0.6783088235294118</c:v>
              </c:pt>
              <c:pt idx="70">
                <c:v>0.81433823529411764</c:v>
              </c:pt>
              <c:pt idx="71">
                <c:v>0.73345588235294112</c:v>
              </c:pt>
              <c:pt idx="72">
                <c:v>0.67463235294117652</c:v>
              </c:pt>
              <c:pt idx="73">
                <c:v>0.54411764705882348</c:v>
              </c:pt>
              <c:pt idx="74">
                <c:v>0.63235294117647056</c:v>
              </c:pt>
              <c:pt idx="75">
                <c:v>0.61764705882352944</c:v>
              </c:pt>
              <c:pt idx="76">
                <c:v>0.5404411764705882</c:v>
              </c:pt>
              <c:pt idx="77">
                <c:v>0.35110294117647056</c:v>
              </c:pt>
              <c:pt idx="78">
                <c:v>0.36948529411764708</c:v>
              </c:pt>
              <c:pt idx="79">
                <c:v>0.56985294117647056</c:v>
              </c:pt>
              <c:pt idx="80">
                <c:v>0.82904411764705888</c:v>
              </c:pt>
              <c:pt idx="81">
                <c:v>0.58639705882352944</c:v>
              </c:pt>
              <c:pt idx="82">
                <c:v>0.77573529411764708</c:v>
              </c:pt>
              <c:pt idx="83">
                <c:v>0.49448529411764708</c:v>
              </c:pt>
              <c:pt idx="84">
                <c:v>0.58272058823529416</c:v>
              </c:pt>
              <c:pt idx="85">
                <c:v>0.67279411764705888</c:v>
              </c:pt>
              <c:pt idx="86">
                <c:v>0.59007352941176472</c:v>
              </c:pt>
              <c:pt idx="87">
                <c:v>0.62132352941176472</c:v>
              </c:pt>
              <c:pt idx="88">
                <c:v>0.58272058823529416</c:v>
              </c:pt>
              <c:pt idx="89">
                <c:v>0.55147058823529416</c:v>
              </c:pt>
              <c:pt idx="90">
                <c:v>0.54779411764705888</c:v>
              </c:pt>
              <c:pt idx="91">
                <c:v>0.48713235294117646</c:v>
              </c:pt>
              <c:pt idx="92">
                <c:v>0.54595588235294112</c:v>
              </c:pt>
              <c:pt idx="93">
                <c:v>0.59375</c:v>
              </c:pt>
              <c:pt idx="94">
                <c:v>0.42279411764705882</c:v>
              </c:pt>
              <c:pt idx="95">
                <c:v>0.72426470588235292</c:v>
              </c:pt>
              <c:pt idx="96">
                <c:v>0.55882352941176472</c:v>
              </c:pt>
              <c:pt idx="97">
                <c:v>0.32169117647058826</c:v>
              </c:pt>
              <c:pt idx="98">
                <c:v>0.31433823529411764</c:v>
              </c:pt>
              <c:pt idx="99">
                <c:v>0.49264705882352944</c:v>
              </c:pt>
              <c:pt idx="100">
                <c:v>0.60110294117647056</c:v>
              </c:pt>
              <c:pt idx="101">
                <c:v>0.29595588235294118</c:v>
              </c:pt>
              <c:pt idx="102">
                <c:v>0.25367647058823528</c:v>
              </c:pt>
              <c:pt idx="103">
                <c:v>0.5</c:v>
              </c:pt>
              <c:pt idx="104">
                <c:v>0.49080882352941174</c:v>
              </c:pt>
              <c:pt idx="105">
                <c:v>0.31617647058823528</c:v>
              </c:pt>
              <c:pt idx="106">
                <c:v>0.35110294117647056</c:v>
              </c:pt>
              <c:pt idx="107">
                <c:v>0.36580882352941174</c:v>
              </c:pt>
              <c:pt idx="108">
                <c:v>0.28676470588235292</c:v>
              </c:pt>
              <c:pt idx="109">
                <c:v>0.31433823529411764</c:v>
              </c:pt>
              <c:pt idx="110">
                <c:v>0.35661764705882354</c:v>
              </c:pt>
              <c:pt idx="111">
                <c:v>0.38419117647058826</c:v>
              </c:pt>
              <c:pt idx="112">
                <c:v>0.36948529411764708</c:v>
              </c:pt>
              <c:pt idx="113">
                <c:v>0.34558823529411764</c:v>
              </c:pt>
              <c:pt idx="114">
                <c:v>0.27389705882352944</c:v>
              </c:pt>
              <c:pt idx="115">
                <c:v>0.47794117647058826</c:v>
              </c:pt>
              <c:pt idx="116">
                <c:v>0.44117647058823528</c:v>
              </c:pt>
              <c:pt idx="117">
                <c:v>0.56433823529411764</c:v>
              </c:pt>
              <c:pt idx="118">
                <c:v>0.57904411764705888</c:v>
              </c:pt>
              <c:pt idx="119">
                <c:v>0.48713235294117646</c:v>
              </c:pt>
              <c:pt idx="120">
                <c:v>0.29963235294117646</c:v>
              </c:pt>
              <c:pt idx="121">
                <c:v>0.29044117647058826</c:v>
              </c:pt>
              <c:pt idx="122">
                <c:v>0.37132352941176472</c:v>
              </c:pt>
              <c:pt idx="123">
                <c:v>0.44669117647058826</c:v>
              </c:pt>
              <c:pt idx="124">
                <c:v>0.29044117647058826</c:v>
              </c:pt>
              <c:pt idx="125">
                <c:v>0.55701754385964908</c:v>
              </c:pt>
              <c:pt idx="126">
                <c:v>0.48245614035087719</c:v>
              </c:pt>
              <c:pt idx="127">
                <c:v>0.48245614035087719</c:v>
              </c:pt>
              <c:pt idx="128">
                <c:v>0.47587719298245612</c:v>
              </c:pt>
              <c:pt idx="129">
                <c:v>0.33333333333333331</c:v>
              </c:pt>
              <c:pt idx="130">
                <c:v>0.38157894736842107</c:v>
              </c:pt>
              <c:pt idx="131">
                <c:v>0.44956140350877194</c:v>
              </c:pt>
              <c:pt idx="132">
                <c:v>0.47368421052631576</c:v>
              </c:pt>
              <c:pt idx="133">
                <c:v>0.375</c:v>
              </c:pt>
              <c:pt idx="134">
                <c:v>0.47807017543859648</c:v>
              </c:pt>
              <c:pt idx="135">
                <c:v>0.35526315789473684</c:v>
              </c:pt>
              <c:pt idx="136">
                <c:v>0.36403508771929827</c:v>
              </c:pt>
              <c:pt idx="137">
                <c:v>0.34868421052631576</c:v>
              </c:pt>
              <c:pt idx="138">
                <c:v>0.27850877192982454</c:v>
              </c:pt>
              <c:pt idx="139">
                <c:v>0.40350877192982454</c:v>
              </c:pt>
              <c:pt idx="140">
                <c:v>0.40789473684210525</c:v>
              </c:pt>
              <c:pt idx="141">
                <c:v>0.43640350877192985</c:v>
              </c:pt>
              <c:pt idx="142">
                <c:v>0.4692982456140351</c:v>
              </c:pt>
              <c:pt idx="143">
                <c:v>0.44736842105263158</c:v>
              </c:pt>
              <c:pt idx="144">
                <c:v>0.50657894736842102</c:v>
              </c:pt>
              <c:pt idx="145">
                <c:v>0.57675438596491224</c:v>
              </c:pt>
              <c:pt idx="146">
                <c:v>0.47807017543859648</c:v>
              </c:pt>
              <c:pt idx="147">
                <c:v>0.58552631578947367</c:v>
              </c:pt>
              <c:pt idx="148">
                <c:v>0.49561403508771928</c:v>
              </c:pt>
              <c:pt idx="149">
                <c:v>0.81359649122807021</c:v>
              </c:pt>
              <c:pt idx="150">
                <c:v>0.82017543859649122</c:v>
              </c:pt>
              <c:pt idx="151">
                <c:v>0.82894736842105265</c:v>
              </c:pt>
              <c:pt idx="152">
                <c:v>0.82017543859649122</c:v>
              </c:pt>
              <c:pt idx="153">
                <c:v>0.76315789473684215</c:v>
              </c:pt>
              <c:pt idx="154">
                <c:v>0.63596491228070173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08D-405C-99D9-5CAE9848BA5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92869848"/>
        <c:axId val="380002352"/>
      </c:lineChart>
      <c:catAx>
        <c:axId val="3928698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002352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380002352"/>
        <c:scaling>
          <c:orientation val="minMax"/>
          <c:max val="1.1000000000000001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869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[Occupancy Mei-Des 19.xlsx]PivotChartTable3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Occupancy Mei-Juni 19 JAI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258017328005865E-2"/>
          <c:y val="0.18016682744089318"/>
          <c:w val="0.94283303471383184"/>
          <c:h val="0.68210068777249178"/>
        </c:manualLayout>
      </c:layout>
      <c:lineChart>
        <c:grouping val="standard"/>
        <c:varyColors val="0"/>
        <c:ser>
          <c:idx val="0"/>
          <c:order val="0"/>
          <c:tx>
            <c:v>Capacity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Lit>
              <c:ptCount val="156"/>
              <c:pt idx="0">
                <c:v>02/05/2019</c:v>
              </c:pt>
              <c:pt idx="1">
                <c:v>03/05/2019</c:v>
              </c:pt>
              <c:pt idx="2">
                <c:v>04/05/2019</c:v>
              </c:pt>
              <c:pt idx="3">
                <c:v>06/05/2019</c:v>
              </c:pt>
              <c:pt idx="4">
                <c:v>07/05/2019</c:v>
              </c:pt>
              <c:pt idx="5">
                <c:v>08/05/2019</c:v>
              </c:pt>
              <c:pt idx="6">
                <c:v>09/05/2019</c:v>
              </c:pt>
              <c:pt idx="7">
                <c:v>10/05/2019</c:v>
              </c:pt>
              <c:pt idx="8">
                <c:v>13/05/2019</c:v>
              </c:pt>
              <c:pt idx="9">
                <c:v>14/05/2019</c:v>
              </c:pt>
              <c:pt idx="10">
                <c:v>15/05/2019</c:v>
              </c:pt>
              <c:pt idx="11">
                <c:v>16/05/2019</c:v>
              </c:pt>
              <c:pt idx="12">
                <c:v>17/05/2019</c:v>
              </c:pt>
              <c:pt idx="13">
                <c:v>18/05/2019</c:v>
              </c:pt>
              <c:pt idx="14">
                <c:v>20/05/2019</c:v>
              </c:pt>
              <c:pt idx="15">
                <c:v>21/05/2019</c:v>
              </c:pt>
              <c:pt idx="16">
                <c:v>22/05/2019</c:v>
              </c:pt>
              <c:pt idx="17">
                <c:v>23/05/2019</c:v>
              </c:pt>
              <c:pt idx="18">
                <c:v>24/05/2019</c:v>
              </c:pt>
              <c:pt idx="19">
                <c:v>25/05/2019</c:v>
              </c:pt>
              <c:pt idx="20">
                <c:v>27/05/2019</c:v>
              </c:pt>
              <c:pt idx="21">
                <c:v>28/05/2019</c:v>
              </c:pt>
              <c:pt idx="22">
                <c:v>29/05/2019</c:v>
              </c:pt>
              <c:pt idx="23">
                <c:v>30/05/2019</c:v>
              </c:pt>
              <c:pt idx="24">
                <c:v>11/06/2019</c:v>
              </c:pt>
              <c:pt idx="25">
                <c:v>12/06/2019</c:v>
              </c:pt>
              <c:pt idx="26">
                <c:v>13/06/2019</c:v>
              </c:pt>
              <c:pt idx="27">
                <c:v>14/06/2019</c:v>
              </c:pt>
              <c:pt idx="28">
                <c:v>15/06/2019</c:v>
              </c:pt>
              <c:pt idx="29">
                <c:v>17/06/2019</c:v>
              </c:pt>
              <c:pt idx="30">
                <c:v>18/06/2019</c:v>
              </c:pt>
              <c:pt idx="31">
                <c:v>19/06/2019</c:v>
              </c:pt>
              <c:pt idx="32">
                <c:v>20/06/2019</c:v>
              </c:pt>
              <c:pt idx="33">
                <c:v>21/06/2019</c:v>
              </c:pt>
              <c:pt idx="34">
                <c:v>24/06/2019</c:v>
              </c:pt>
              <c:pt idx="35">
                <c:v>25/06/2019</c:v>
              </c:pt>
              <c:pt idx="36">
                <c:v>26/06/2019</c:v>
              </c:pt>
              <c:pt idx="37">
                <c:v>27/06/2019</c:v>
              </c:pt>
              <c:pt idx="38">
                <c:v>28/06/2019</c:v>
              </c:pt>
              <c:pt idx="39">
                <c:v>01/07/2019</c:v>
              </c:pt>
              <c:pt idx="40">
                <c:v>02/07/2019</c:v>
              </c:pt>
              <c:pt idx="41">
                <c:v>03/07/2019</c:v>
              </c:pt>
              <c:pt idx="42">
                <c:v>04/07/2019</c:v>
              </c:pt>
              <c:pt idx="43">
                <c:v>05/07/2019</c:v>
              </c:pt>
              <c:pt idx="44">
                <c:v>08/07/2019</c:v>
              </c:pt>
              <c:pt idx="45">
                <c:v>09/07/2019</c:v>
              </c:pt>
              <c:pt idx="46">
                <c:v>10/07/2019</c:v>
              </c:pt>
              <c:pt idx="47">
                <c:v>11/07/2019</c:v>
              </c:pt>
              <c:pt idx="48">
                <c:v>12/07/2019</c:v>
              </c:pt>
              <c:pt idx="49">
                <c:v>15/07/2019</c:v>
              </c:pt>
              <c:pt idx="50">
                <c:v>16/07/2019</c:v>
              </c:pt>
              <c:pt idx="51">
                <c:v>17/07/2019</c:v>
              </c:pt>
              <c:pt idx="52">
                <c:v>18/07/2019</c:v>
              </c:pt>
              <c:pt idx="53">
                <c:v>19/07/2019</c:v>
              </c:pt>
              <c:pt idx="54">
                <c:v>22/07/2019</c:v>
              </c:pt>
              <c:pt idx="55">
                <c:v>23/07/2019</c:v>
              </c:pt>
              <c:pt idx="56">
                <c:v>24/07/2019</c:v>
              </c:pt>
              <c:pt idx="57">
                <c:v>25/07/2019</c:v>
              </c:pt>
              <c:pt idx="58">
                <c:v>26/07/2019</c:v>
              </c:pt>
              <c:pt idx="59">
                <c:v>29/07/2019</c:v>
              </c:pt>
              <c:pt idx="60">
                <c:v>30/07/2019</c:v>
              </c:pt>
              <c:pt idx="61">
                <c:v>31/07/2019</c:v>
              </c:pt>
              <c:pt idx="62">
                <c:v>01/08/2019</c:v>
              </c:pt>
              <c:pt idx="63">
                <c:v>02/08/2019</c:v>
              </c:pt>
              <c:pt idx="64">
                <c:v>05/08/2019</c:v>
              </c:pt>
              <c:pt idx="65">
                <c:v>06/08/2019</c:v>
              </c:pt>
              <c:pt idx="66">
                <c:v>07/08/2019</c:v>
              </c:pt>
              <c:pt idx="67">
                <c:v>08/08/2019</c:v>
              </c:pt>
              <c:pt idx="68">
                <c:v>09/08/2019</c:v>
              </c:pt>
              <c:pt idx="69">
                <c:v>13/08/2019</c:v>
              </c:pt>
              <c:pt idx="70">
                <c:v>14/08/2019</c:v>
              </c:pt>
              <c:pt idx="71">
                <c:v>15/08/2019</c:v>
              </c:pt>
              <c:pt idx="72">
                <c:v>16/08/2019</c:v>
              </c:pt>
              <c:pt idx="73">
                <c:v>19/08/2019</c:v>
              </c:pt>
              <c:pt idx="74">
                <c:v>20/08/2019</c:v>
              </c:pt>
              <c:pt idx="75">
                <c:v>21/08/2019</c:v>
              </c:pt>
              <c:pt idx="76">
                <c:v>22/08/2019</c:v>
              </c:pt>
              <c:pt idx="77">
                <c:v>23/08/2019</c:v>
              </c:pt>
              <c:pt idx="78">
                <c:v>26/08/2019</c:v>
              </c:pt>
              <c:pt idx="79">
                <c:v>27/08/2019</c:v>
              </c:pt>
              <c:pt idx="80">
                <c:v>28/08/2019</c:v>
              </c:pt>
              <c:pt idx="81">
                <c:v>29/08/2019</c:v>
              </c:pt>
              <c:pt idx="82">
                <c:v>30/08/2019</c:v>
              </c:pt>
              <c:pt idx="83">
                <c:v>02/09/2019</c:v>
              </c:pt>
              <c:pt idx="84">
                <c:v>03/09/2019</c:v>
              </c:pt>
              <c:pt idx="85">
                <c:v>04/09/2019</c:v>
              </c:pt>
              <c:pt idx="86">
                <c:v>05/09/2019</c:v>
              </c:pt>
              <c:pt idx="87">
                <c:v>06/09/2019</c:v>
              </c:pt>
              <c:pt idx="88">
                <c:v>09/09/2019</c:v>
              </c:pt>
              <c:pt idx="89">
                <c:v>10/09/2019</c:v>
              </c:pt>
              <c:pt idx="90">
                <c:v>11/09/2019</c:v>
              </c:pt>
              <c:pt idx="91">
                <c:v>12/09/2019</c:v>
              </c:pt>
              <c:pt idx="92">
                <c:v>13/09/2019</c:v>
              </c:pt>
              <c:pt idx="93">
                <c:v>16/09/2019</c:v>
              </c:pt>
              <c:pt idx="94">
                <c:v>17/09/2019</c:v>
              </c:pt>
              <c:pt idx="95">
                <c:v>18/09/2019</c:v>
              </c:pt>
              <c:pt idx="96">
                <c:v>19/09/2019</c:v>
              </c:pt>
              <c:pt idx="97">
                <c:v>20/09/2019</c:v>
              </c:pt>
              <c:pt idx="98">
                <c:v>23/09/2019</c:v>
              </c:pt>
              <c:pt idx="99">
                <c:v>24/09/2019</c:v>
              </c:pt>
              <c:pt idx="100">
                <c:v>25/09/2019</c:v>
              </c:pt>
              <c:pt idx="101">
                <c:v>26/09/2019</c:v>
              </c:pt>
              <c:pt idx="102">
                <c:v>27/09/2019</c:v>
              </c:pt>
              <c:pt idx="103">
                <c:v>30/09/2019</c:v>
              </c:pt>
              <c:pt idx="104">
                <c:v>01/10/2019</c:v>
              </c:pt>
              <c:pt idx="105">
                <c:v>02/10/2019</c:v>
              </c:pt>
              <c:pt idx="106">
                <c:v>03/10/2019</c:v>
              </c:pt>
              <c:pt idx="107">
                <c:v>04/10/2019</c:v>
              </c:pt>
              <c:pt idx="108">
                <c:v>10/10/2019</c:v>
              </c:pt>
              <c:pt idx="109">
                <c:v>11/10/2019</c:v>
              </c:pt>
              <c:pt idx="110">
                <c:v>14/10/2019</c:v>
              </c:pt>
              <c:pt idx="111">
                <c:v>15/10/2019</c:v>
              </c:pt>
              <c:pt idx="112">
                <c:v>16/10/2019</c:v>
              </c:pt>
              <c:pt idx="113">
                <c:v>17/10/2019</c:v>
              </c:pt>
              <c:pt idx="114">
                <c:v>18/10/2019</c:v>
              </c:pt>
              <c:pt idx="115">
                <c:v>21/10/2019</c:v>
              </c:pt>
              <c:pt idx="116">
                <c:v>22/10/2019</c:v>
              </c:pt>
              <c:pt idx="117">
                <c:v>23/10/2019</c:v>
              </c:pt>
              <c:pt idx="118">
                <c:v>24/10/2019</c:v>
              </c:pt>
              <c:pt idx="119">
                <c:v>25/10/2019</c:v>
              </c:pt>
              <c:pt idx="120">
                <c:v>28/10/2019</c:v>
              </c:pt>
              <c:pt idx="121">
                <c:v>29/10/2019</c:v>
              </c:pt>
              <c:pt idx="122">
                <c:v>30/10/2019</c:v>
              </c:pt>
              <c:pt idx="123">
                <c:v>31/10/2019</c:v>
              </c:pt>
              <c:pt idx="124">
                <c:v>01/11/2019</c:v>
              </c:pt>
              <c:pt idx="125">
                <c:v>04/11/2019</c:v>
              </c:pt>
              <c:pt idx="126">
                <c:v>05/11/2019</c:v>
              </c:pt>
              <c:pt idx="127">
                <c:v>06/11/2019</c:v>
              </c:pt>
              <c:pt idx="128">
                <c:v>07/11/2019</c:v>
              </c:pt>
              <c:pt idx="129">
                <c:v>08/11/2019</c:v>
              </c:pt>
              <c:pt idx="130">
                <c:v>11/11/2019</c:v>
              </c:pt>
              <c:pt idx="131">
                <c:v>12/11/2019</c:v>
              </c:pt>
              <c:pt idx="132">
                <c:v>13/11/2019</c:v>
              </c:pt>
              <c:pt idx="133">
                <c:v>14/11/2019</c:v>
              </c:pt>
              <c:pt idx="134">
                <c:v>15/11/2019</c:v>
              </c:pt>
              <c:pt idx="135">
                <c:v>18/11/2019</c:v>
              </c:pt>
              <c:pt idx="136">
                <c:v>19/11/2019</c:v>
              </c:pt>
              <c:pt idx="137">
                <c:v>20/11/2019</c:v>
              </c:pt>
              <c:pt idx="138">
                <c:v>21/11/2019</c:v>
              </c:pt>
              <c:pt idx="139">
                <c:v>22/11/2019</c:v>
              </c:pt>
              <c:pt idx="140">
                <c:v>25/11/2019</c:v>
              </c:pt>
              <c:pt idx="141">
                <c:v>26/11/2019</c:v>
              </c:pt>
              <c:pt idx="142">
                <c:v>27/11/2019</c:v>
              </c:pt>
              <c:pt idx="143">
                <c:v>28/11/2019</c:v>
              </c:pt>
              <c:pt idx="144">
                <c:v>29/11/2019</c:v>
              </c:pt>
              <c:pt idx="145">
                <c:v>02/12/2019</c:v>
              </c:pt>
              <c:pt idx="146">
                <c:v>03/12/2019</c:v>
              </c:pt>
              <c:pt idx="147">
                <c:v>04/12/2019</c:v>
              </c:pt>
              <c:pt idx="148">
                <c:v>05/12/2019</c:v>
              </c:pt>
              <c:pt idx="149">
                <c:v>06/12/2019</c:v>
              </c:pt>
              <c:pt idx="150">
                <c:v>09/12/2019</c:v>
              </c:pt>
              <c:pt idx="151">
                <c:v>10/12/2019</c:v>
              </c:pt>
              <c:pt idx="152">
                <c:v>11/12/2019</c:v>
              </c:pt>
              <c:pt idx="153">
                <c:v>12/12/2019</c:v>
              </c:pt>
              <c:pt idx="154">
                <c:v>13/12/2019</c:v>
              </c:pt>
              <c:pt idx="155">
                <c:v>16/12/2019</c:v>
              </c:pt>
            </c:strLit>
          </c:cat>
          <c:val>
            <c:numLit>
              <c:formatCode>General</c:formatCode>
              <c:ptCount val="156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  <c:pt idx="52">
                <c:v>1</c:v>
              </c:pt>
              <c:pt idx="53">
                <c:v>1</c:v>
              </c:pt>
              <c:pt idx="54">
                <c:v>1</c:v>
              </c:pt>
              <c:pt idx="55">
                <c:v>1</c:v>
              </c:pt>
              <c:pt idx="56">
                <c:v>1</c:v>
              </c:pt>
              <c:pt idx="57">
                <c:v>1</c:v>
              </c:pt>
              <c:pt idx="58">
                <c:v>1</c:v>
              </c:pt>
              <c:pt idx="59">
                <c:v>1</c:v>
              </c:pt>
              <c:pt idx="60">
                <c:v>1</c:v>
              </c:pt>
              <c:pt idx="61">
                <c:v>1</c:v>
              </c:pt>
              <c:pt idx="62">
                <c:v>1</c:v>
              </c:pt>
              <c:pt idx="63">
                <c:v>1</c:v>
              </c:pt>
              <c:pt idx="64">
                <c:v>1</c:v>
              </c:pt>
              <c:pt idx="65">
                <c:v>1</c:v>
              </c:pt>
              <c:pt idx="66">
                <c:v>1</c:v>
              </c:pt>
              <c:pt idx="67">
                <c:v>1</c:v>
              </c:pt>
              <c:pt idx="68">
                <c:v>1</c:v>
              </c:pt>
              <c:pt idx="69">
                <c:v>1</c:v>
              </c:pt>
              <c:pt idx="70">
                <c:v>1</c:v>
              </c:pt>
              <c:pt idx="71">
                <c:v>1</c:v>
              </c:pt>
              <c:pt idx="72">
                <c:v>1</c:v>
              </c:pt>
              <c:pt idx="73">
                <c:v>1</c:v>
              </c:pt>
              <c:pt idx="74">
                <c:v>1</c:v>
              </c:pt>
              <c:pt idx="75">
                <c:v>1</c:v>
              </c:pt>
              <c:pt idx="76">
                <c:v>1</c:v>
              </c:pt>
              <c:pt idx="77">
                <c:v>1</c:v>
              </c:pt>
              <c:pt idx="78">
                <c:v>1</c:v>
              </c:pt>
              <c:pt idx="79">
                <c:v>1</c:v>
              </c:pt>
              <c:pt idx="80">
                <c:v>1</c:v>
              </c:pt>
              <c:pt idx="81">
                <c:v>1</c:v>
              </c:pt>
              <c:pt idx="82">
                <c:v>1</c:v>
              </c:pt>
              <c:pt idx="83">
                <c:v>1</c:v>
              </c:pt>
              <c:pt idx="84">
                <c:v>1</c:v>
              </c:pt>
              <c:pt idx="85">
                <c:v>1</c:v>
              </c:pt>
              <c:pt idx="86">
                <c:v>1</c:v>
              </c:pt>
              <c:pt idx="87">
                <c:v>1</c:v>
              </c:pt>
              <c:pt idx="88">
                <c:v>1</c:v>
              </c:pt>
              <c:pt idx="89">
                <c:v>1</c:v>
              </c:pt>
              <c:pt idx="90">
                <c:v>1</c:v>
              </c:pt>
              <c:pt idx="91">
                <c:v>1</c:v>
              </c:pt>
              <c:pt idx="92">
                <c:v>1</c:v>
              </c:pt>
              <c:pt idx="93">
                <c:v>1</c:v>
              </c:pt>
              <c:pt idx="94">
                <c:v>1</c:v>
              </c:pt>
              <c:pt idx="95">
                <c:v>1</c:v>
              </c:pt>
              <c:pt idx="96">
                <c:v>1</c:v>
              </c:pt>
              <c:pt idx="97">
                <c:v>1</c:v>
              </c:pt>
              <c:pt idx="98">
                <c:v>1</c:v>
              </c:pt>
              <c:pt idx="99">
                <c:v>1</c:v>
              </c:pt>
              <c:pt idx="100">
                <c:v>1</c:v>
              </c:pt>
              <c:pt idx="101">
                <c:v>1</c:v>
              </c:pt>
              <c:pt idx="102">
                <c:v>1</c:v>
              </c:pt>
              <c:pt idx="103">
                <c:v>1</c:v>
              </c:pt>
              <c:pt idx="104">
                <c:v>1</c:v>
              </c:pt>
              <c:pt idx="105">
                <c:v>1</c:v>
              </c:pt>
              <c:pt idx="106">
                <c:v>1</c:v>
              </c:pt>
              <c:pt idx="107">
                <c:v>1</c:v>
              </c:pt>
              <c:pt idx="108">
                <c:v>1</c:v>
              </c:pt>
              <c:pt idx="109">
                <c:v>1</c:v>
              </c:pt>
              <c:pt idx="110">
                <c:v>1</c:v>
              </c:pt>
              <c:pt idx="111">
                <c:v>1</c:v>
              </c:pt>
              <c:pt idx="112">
                <c:v>1</c:v>
              </c:pt>
              <c:pt idx="113">
                <c:v>1</c:v>
              </c:pt>
              <c:pt idx="114">
                <c:v>1</c:v>
              </c:pt>
              <c:pt idx="115">
                <c:v>1</c:v>
              </c:pt>
              <c:pt idx="116">
                <c:v>1</c:v>
              </c:pt>
              <c:pt idx="117">
                <c:v>1</c:v>
              </c:pt>
              <c:pt idx="118">
                <c:v>1</c:v>
              </c:pt>
              <c:pt idx="119">
                <c:v>1</c:v>
              </c:pt>
              <c:pt idx="120">
                <c:v>1</c:v>
              </c:pt>
              <c:pt idx="121">
                <c:v>1</c:v>
              </c:pt>
              <c:pt idx="122">
                <c:v>1</c:v>
              </c:pt>
              <c:pt idx="123">
                <c:v>1</c:v>
              </c:pt>
              <c:pt idx="124">
                <c:v>1</c:v>
              </c:pt>
              <c:pt idx="125">
                <c:v>1</c:v>
              </c:pt>
              <c:pt idx="126">
                <c:v>1</c:v>
              </c:pt>
              <c:pt idx="127">
                <c:v>1</c:v>
              </c:pt>
              <c:pt idx="128">
                <c:v>1</c:v>
              </c:pt>
              <c:pt idx="129">
                <c:v>1</c:v>
              </c:pt>
              <c:pt idx="130">
                <c:v>1</c:v>
              </c:pt>
              <c:pt idx="131">
                <c:v>1</c:v>
              </c:pt>
              <c:pt idx="132">
                <c:v>1</c:v>
              </c:pt>
              <c:pt idx="133">
                <c:v>1</c:v>
              </c:pt>
              <c:pt idx="134">
                <c:v>1</c:v>
              </c:pt>
              <c:pt idx="135">
                <c:v>1</c:v>
              </c:pt>
              <c:pt idx="136">
                <c:v>1</c:v>
              </c:pt>
              <c:pt idx="137">
                <c:v>1</c:v>
              </c:pt>
              <c:pt idx="138">
                <c:v>1</c:v>
              </c:pt>
              <c:pt idx="139">
                <c:v>1</c:v>
              </c:pt>
              <c:pt idx="140">
                <c:v>1</c:v>
              </c:pt>
              <c:pt idx="141">
                <c:v>1</c:v>
              </c:pt>
              <c:pt idx="142">
                <c:v>1</c:v>
              </c:pt>
              <c:pt idx="143">
                <c:v>1</c:v>
              </c:pt>
              <c:pt idx="144">
                <c:v>1</c:v>
              </c:pt>
              <c:pt idx="145">
                <c:v>1</c:v>
              </c:pt>
              <c:pt idx="146">
                <c:v>1</c:v>
              </c:pt>
              <c:pt idx="147">
                <c:v>1</c:v>
              </c:pt>
              <c:pt idx="148">
                <c:v>1</c:v>
              </c:pt>
              <c:pt idx="149">
                <c:v>1</c:v>
              </c:pt>
              <c:pt idx="150">
                <c:v>1</c:v>
              </c:pt>
              <c:pt idx="151">
                <c:v>1</c:v>
              </c:pt>
              <c:pt idx="152">
                <c:v>1</c:v>
              </c:pt>
              <c:pt idx="153">
                <c:v>1</c:v>
              </c:pt>
              <c:pt idx="154">
                <c:v>1</c:v>
              </c:pt>
              <c:pt idx="155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B02-45FE-B2D4-4F36B87EC074}"/>
            </c:ext>
          </c:extLst>
        </c:ser>
        <c:ser>
          <c:idx val="1"/>
          <c:order val="1"/>
          <c:tx>
            <c:v>Occupancy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156"/>
              <c:pt idx="0">
                <c:v>02/05/2019</c:v>
              </c:pt>
              <c:pt idx="1">
                <c:v>03/05/2019</c:v>
              </c:pt>
              <c:pt idx="2">
                <c:v>04/05/2019</c:v>
              </c:pt>
              <c:pt idx="3">
                <c:v>06/05/2019</c:v>
              </c:pt>
              <c:pt idx="4">
                <c:v>07/05/2019</c:v>
              </c:pt>
              <c:pt idx="5">
                <c:v>08/05/2019</c:v>
              </c:pt>
              <c:pt idx="6">
                <c:v>09/05/2019</c:v>
              </c:pt>
              <c:pt idx="7">
                <c:v>10/05/2019</c:v>
              </c:pt>
              <c:pt idx="8">
                <c:v>13/05/2019</c:v>
              </c:pt>
              <c:pt idx="9">
                <c:v>14/05/2019</c:v>
              </c:pt>
              <c:pt idx="10">
                <c:v>15/05/2019</c:v>
              </c:pt>
              <c:pt idx="11">
                <c:v>16/05/2019</c:v>
              </c:pt>
              <c:pt idx="12">
                <c:v>17/05/2019</c:v>
              </c:pt>
              <c:pt idx="13">
                <c:v>18/05/2019</c:v>
              </c:pt>
              <c:pt idx="14">
                <c:v>20/05/2019</c:v>
              </c:pt>
              <c:pt idx="15">
                <c:v>21/05/2019</c:v>
              </c:pt>
              <c:pt idx="16">
                <c:v>22/05/2019</c:v>
              </c:pt>
              <c:pt idx="17">
                <c:v>23/05/2019</c:v>
              </c:pt>
              <c:pt idx="18">
                <c:v>24/05/2019</c:v>
              </c:pt>
              <c:pt idx="19">
                <c:v>25/05/2019</c:v>
              </c:pt>
              <c:pt idx="20">
                <c:v>27/05/2019</c:v>
              </c:pt>
              <c:pt idx="21">
                <c:v>28/05/2019</c:v>
              </c:pt>
              <c:pt idx="22">
                <c:v>29/05/2019</c:v>
              </c:pt>
              <c:pt idx="23">
                <c:v>30/05/2019</c:v>
              </c:pt>
              <c:pt idx="24">
                <c:v>11/06/2019</c:v>
              </c:pt>
              <c:pt idx="25">
                <c:v>12/06/2019</c:v>
              </c:pt>
              <c:pt idx="26">
                <c:v>13/06/2019</c:v>
              </c:pt>
              <c:pt idx="27">
                <c:v>14/06/2019</c:v>
              </c:pt>
              <c:pt idx="28">
                <c:v>15/06/2019</c:v>
              </c:pt>
              <c:pt idx="29">
                <c:v>17/06/2019</c:v>
              </c:pt>
              <c:pt idx="30">
                <c:v>18/06/2019</c:v>
              </c:pt>
              <c:pt idx="31">
                <c:v>19/06/2019</c:v>
              </c:pt>
              <c:pt idx="32">
                <c:v>20/06/2019</c:v>
              </c:pt>
              <c:pt idx="33">
                <c:v>21/06/2019</c:v>
              </c:pt>
              <c:pt idx="34">
                <c:v>24/06/2019</c:v>
              </c:pt>
              <c:pt idx="35">
                <c:v>25/06/2019</c:v>
              </c:pt>
              <c:pt idx="36">
                <c:v>26/06/2019</c:v>
              </c:pt>
              <c:pt idx="37">
                <c:v>27/06/2019</c:v>
              </c:pt>
              <c:pt idx="38">
                <c:v>28/06/2019</c:v>
              </c:pt>
              <c:pt idx="39">
                <c:v>01/07/2019</c:v>
              </c:pt>
              <c:pt idx="40">
                <c:v>02/07/2019</c:v>
              </c:pt>
              <c:pt idx="41">
                <c:v>03/07/2019</c:v>
              </c:pt>
              <c:pt idx="42">
                <c:v>04/07/2019</c:v>
              </c:pt>
              <c:pt idx="43">
                <c:v>05/07/2019</c:v>
              </c:pt>
              <c:pt idx="44">
                <c:v>08/07/2019</c:v>
              </c:pt>
              <c:pt idx="45">
                <c:v>09/07/2019</c:v>
              </c:pt>
              <c:pt idx="46">
                <c:v>10/07/2019</c:v>
              </c:pt>
              <c:pt idx="47">
                <c:v>11/07/2019</c:v>
              </c:pt>
              <c:pt idx="48">
                <c:v>12/07/2019</c:v>
              </c:pt>
              <c:pt idx="49">
                <c:v>15/07/2019</c:v>
              </c:pt>
              <c:pt idx="50">
                <c:v>16/07/2019</c:v>
              </c:pt>
              <c:pt idx="51">
                <c:v>17/07/2019</c:v>
              </c:pt>
              <c:pt idx="52">
                <c:v>18/07/2019</c:v>
              </c:pt>
              <c:pt idx="53">
                <c:v>19/07/2019</c:v>
              </c:pt>
              <c:pt idx="54">
                <c:v>22/07/2019</c:v>
              </c:pt>
              <c:pt idx="55">
                <c:v>23/07/2019</c:v>
              </c:pt>
              <c:pt idx="56">
                <c:v>24/07/2019</c:v>
              </c:pt>
              <c:pt idx="57">
                <c:v>25/07/2019</c:v>
              </c:pt>
              <c:pt idx="58">
                <c:v>26/07/2019</c:v>
              </c:pt>
              <c:pt idx="59">
                <c:v>29/07/2019</c:v>
              </c:pt>
              <c:pt idx="60">
                <c:v>30/07/2019</c:v>
              </c:pt>
              <c:pt idx="61">
                <c:v>31/07/2019</c:v>
              </c:pt>
              <c:pt idx="62">
                <c:v>01/08/2019</c:v>
              </c:pt>
              <c:pt idx="63">
                <c:v>02/08/2019</c:v>
              </c:pt>
              <c:pt idx="64">
                <c:v>05/08/2019</c:v>
              </c:pt>
              <c:pt idx="65">
                <c:v>06/08/2019</c:v>
              </c:pt>
              <c:pt idx="66">
                <c:v>07/08/2019</c:v>
              </c:pt>
              <c:pt idx="67">
                <c:v>08/08/2019</c:v>
              </c:pt>
              <c:pt idx="68">
                <c:v>09/08/2019</c:v>
              </c:pt>
              <c:pt idx="69">
                <c:v>13/08/2019</c:v>
              </c:pt>
              <c:pt idx="70">
                <c:v>14/08/2019</c:v>
              </c:pt>
              <c:pt idx="71">
                <c:v>15/08/2019</c:v>
              </c:pt>
              <c:pt idx="72">
                <c:v>16/08/2019</c:v>
              </c:pt>
              <c:pt idx="73">
                <c:v>19/08/2019</c:v>
              </c:pt>
              <c:pt idx="74">
                <c:v>20/08/2019</c:v>
              </c:pt>
              <c:pt idx="75">
                <c:v>21/08/2019</c:v>
              </c:pt>
              <c:pt idx="76">
                <c:v>22/08/2019</c:v>
              </c:pt>
              <c:pt idx="77">
                <c:v>23/08/2019</c:v>
              </c:pt>
              <c:pt idx="78">
                <c:v>26/08/2019</c:v>
              </c:pt>
              <c:pt idx="79">
                <c:v>27/08/2019</c:v>
              </c:pt>
              <c:pt idx="80">
                <c:v>28/08/2019</c:v>
              </c:pt>
              <c:pt idx="81">
                <c:v>29/08/2019</c:v>
              </c:pt>
              <c:pt idx="82">
                <c:v>30/08/2019</c:v>
              </c:pt>
              <c:pt idx="83">
                <c:v>02/09/2019</c:v>
              </c:pt>
              <c:pt idx="84">
                <c:v>03/09/2019</c:v>
              </c:pt>
              <c:pt idx="85">
                <c:v>04/09/2019</c:v>
              </c:pt>
              <c:pt idx="86">
                <c:v>05/09/2019</c:v>
              </c:pt>
              <c:pt idx="87">
                <c:v>06/09/2019</c:v>
              </c:pt>
              <c:pt idx="88">
                <c:v>09/09/2019</c:v>
              </c:pt>
              <c:pt idx="89">
                <c:v>10/09/2019</c:v>
              </c:pt>
              <c:pt idx="90">
                <c:v>11/09/2019</c:v>
              </c:pt>
              <c:pt idx="91">
                <c:v>12/09/2019</c:v>
              </c:pt>
              <c:pt idx="92">
                <c:v>13/09/2019</c:v>
              </c:pt>
              <c:pt idx="93">
                <c:v>16/09/2019</c:v>
              </c:pt>
              <c:pt idx="94">
                <c:v>17/09/2019</c:v>
              </c:pt>
              <c:pt idx="95">
                <c:v>18/09/2019</c:v>
              </c:pt>
              <c:pt idx="96">
                <c:v>19/09/2019</c:v>
              </c:pt>
              <c:pt idx="97">
                <c:v>20/09/2019</c:v>
              </c:pt>
              <c:pt idx="98">
                <c:v>23/09/2019</c:v>
              </c:pt>
              <c:pt idx="99">
                <c:v>24/09/2019</c:v>
              </c:pt>
              <c:pt idx="100">
                <c:v>25/09/2019</c:v>
              </c:pt>
              <c:pt idx="101">
                <c:v>26/09/2019</c:v>
              </c:pt>
              <c:pt idx="102">
                <c:v>27/09/2019</c:v>
              </c:pt>
              <c:pt idx="103">
                <c:v>30/09/2019</c:v>
              </c:pt>
              <c:pt idx="104">
                <c:v>01/10/2019</c:v>
              </c:pt>
              <c:pt idx="105">
                <c:v>02/10/2019</c:v>
              </c:pt>
              <c:pt idx="106">
                <c:v>03/10/2019</c:v>
              </c:pt>
              <c:pt idx="107">
                <c:v>04/10/2019</c:v>
              </c:pt>
              <c:pt idx="108">
                <c:v>10/10/2019</c:v>
              </c:pt>
              <c:pt idx="109">
                <c:v>11/10/2019</c:v>
              </c:pt>
              <c:pt idx="110">
                <c:v>14/10/2019</c:v>
              </c:pt>
              <c:pt idx="111">
                <c:v>15/10/2019</c:v>
              </c:pt>
              <c:pt idx="112">
                <c:v>16/10/2019</c:v>
              </c:pt>
              <c:pt idx="113">
                <c:v>17/10/2019</c:v>
              </c:pt>
              <c:pt idx="114">
                <c:v>18/10/2019</c:v>
              </c:pt>
              <c:pt idx="115">
                <c:v>21/10/2019</c:v>
              </c:pt>
              <c:pt idx="116">
                <c:v>22/10/2019</c:v>
              </c:pt>
              <c:pt idx="117">
                <c:v>23/10/2019</c:v>
              </c:pt>
              <c:pt idx="118">
                <c:v>24/10/2019</c:v>
              </c:pt>
              <c:pt idx="119">
                <c:v>25/10/2019</c:v>
              </c:pt>
              <c:pt idx="120">
                <c:v>28/10/2019</c:v>
              </c:pt>
              <c:pt idx="121">
                <c:v>29/10/2019</c:v>
              </c:pt>
              <c:pt idx="122">
                <c:v>30/10/2019</c:v>
              </c:pt>
              <c:pt idx="123">
                <c:v>31/10/2019</c:v>
              </c:pt>
              <c:pt idx="124">
                <c:v>01/11/2019</c:v>
              </c:pt>
              <c:pt idx="125">
                <c:v>04/11/2019</c:v>
              </c:pt>
              <c:pt idx="126">
                <c:v>05/11/2019</c:v>
              </c:pt>
              <c:pt idx="127">
                <c:v>06/11/2019</c:v>
              </c:pt>
              <c:pt idx="128">
                <c:v>07/11/2019</c:v>
              </c:pt>
              <c:pt idx="129">
                <c:v>08/11/2019</c:v>
              </c:pt>
              <c:pt idx="130">
                <c:v>11/11/2019</c:v>
              </c:pt>
              <c:pt idx="131">
                <c:v>12/11/2019</c:v>
              </c:pt>
              <c:pt idx="132">
                <c:v>13/11/2019</c:v>
              </c:pt>
              <c:pt idx="133">
                <c:v>14/11/2019</c:v>
              </c:pt>
              <c:pt idx="134">
                <c:v>15/11/2019</c:v>
              </c:pt>
              <c:pt idx="135">
                <c:v>18/11/2019</c:v>
              </c:pt>
              <c:pt idx="136">
                <c:v>19/11/2019</c:v>
              </c:pt>
              <c:pt idx="137">
                <c:v>20/11/2019</c:v>
              </c:pt>
              <c:pt idx="138">
                <c:v>21/11/2019</c:v>
              </c:pt>
              <c:pt idx="139">
                <c:v>22/11/2019</c:v>
              </c:pt>
              <c:pt idx="140">
                <c:v>25/11/2019</c:v>
              </c:pt>
              <c:pt idx="141">
                <c:v>26/11/2019</c:v>
              </c:pt>
              <c:pt idx="142">
                <c:v>27/11/2019</c:v>
              </c:pt>
              <c:pt idx="143">
                <c:v>28/11/2019</c:v>
              </c:pt>
              <c:pt idx="144">
                <c:v>29/11/2019</c:v>
              </c:pt>
              <c:pt idx="145">
                <c:v>02/12/2019</c:v>
              </c:pt>
              <c:pt idx="146">
                <c:v>03/12/2019</c:v>
              </c:pt>
              <c:pt idx="147">
                <c:v>04/12/2019</c:v>
              </c:pt>
              <c:pt idx="148">
                <c:v>05/12/2019</c:v>
              </c:pt>
              <c:pt idx="149">
                <c:v>06/12/2019</c:v>
              </c:pt>
              <c:pt idx="150">
                <c:v>09/12/2019</c:v>
              </c:pt>
              <c:pt idx="151">
                <c:v>10/12/2019</c:v>
              </c:pt>
              <c:pt idx="152">
                <c:v>11/12/2019</c:v>
              </c:pt>
              <c:pt idx="153">
                <c:v>12/12/2019</c:v>
              </c:pt>
              <c:pt idx="154">
                <c:v>13/12/2019</c:v>
              </c:pt>
              <c:pt idx="155">
                <c:v>16/12/2019</c:v>
              </c:pt>
            </c:strLit>
          </c:cat>
          <c:val>
            <c:numLit>
              <c:formatCode>General</c:formatCode>
              <c:ptCount val="156"/>
              <c:pt idx="0">
                <c:v>0.86430891374954888</c:v>
              </c:pt>
              <c:pt idx="1">
                <c:v>0.89787080476362324</c:v>
              </c:pt>
              <c:pt idx="2">
                <c:v>0.93684590400577406</c:v>
              </c:pt>
              <c:pt idx="3">
                <c:v>0.87152652472031755</c:v>
              </c:pt>
              <c:pt idx="4">
                <c:v>0.97942980873330932</c:v>
              </c:pt>
              <c:pt idx="5">
                <c:v>0.97726452544207865</c:v>
              </c:pt>
              <c:pt idx="6">
                <c:v>0.95849873691808007</c:v>
              </c:pt>
              <c:pt idx="7">
                <c:v>0.90653193792854569</c:v>
              </c:pt>
              <c:pt idx="8">
                <c:v>0.89245759653554668</c:v>
              </c:pt>
              <c:pt idx="9">
                <c:v>0.91627571273908337</c:v>
              </c:pt>
              <c:pt idx="10">
                <c:v>0.9206062793215446</c:v>
              </c:pt>
              <c:pt idx="11">
                <c:v>0.9000360880548538</c:v>
              </c:pt>
              <c:pt idx="12">
                <c:v>0.84698664741970409</c:v>
              </c:pt>
              <c:pt idx="13">
                <c:v>0.83182966438108985</c:v>
              </c:pt>
              <c:pt idx="14">
                <c:v>0.82172500902201373</c:v>
              </c:pt>
              <c:pt idx="15">
                <c:v>0.84157343919162753</c:v>
              </c:pt>
              <c:pt idx="16">
                <c:v>0.82425117286178273</c:v>
              </c:pt>
              <c:pt idx="17">
                <c:v>0.79321544568747748</c:v>
              </c:pt>
              <c:pt idx="18">
                <c:v>0.76470588235294112</c:v>
              </c:pt>
              <c:pt idx="19">
                <c:v>0.71779141104294475</c:v>
              </c:pt>
              <c:pt idx="20">
                <c:v>0.71598700830025264</c:v>
              </c:pt>
              <c:pt idx="21">
                <c:v>0.71273908336340674</c:v>
              </c:pt>
              <c:pt idx="22">
                <c:v>0.79935041501263082</c:v>
              </c:pt>
              <c:pt idx="23">
                <c:v>0.752075063154096</c:v>
              </c:pt>
              <c:pt idx="24">
                <c:v>0.74594009382894266</c:v>
              </c:pt>
              <c:pt idx="25">
                <c:v>0.78094550703717069</c:v>
              </c:pt>
              <c:pt idx="26">
                <c:v>0.86106098881270299</c:v>
              </c:pt>
              <c:pt idx="27">
                <c:v>0.86214363045831832</c:v>
              </c:pt>
              <c:pt idx="28">
                <c:v>0.85167809455070376</c:v>
              </c:pt>
              <c:pt idx="29">
                <c:v>0.80620714543486105</c:v>
              </c:pt>
              <c:pt idx="30">
                <c:v>0.79898953446409238</c:v>
              </c:pt>
              <c:pt idx="31">
                <c:v>0.84987369180801153</c:v>
              </c:pt>
              <c:pt idx="32">
                <c:v>0.79790689281847704</c:v>
              </c:pt>
              <c:pt idx="33">
                <c:v>0.77372789606640202</c:v>
              </c:pt>
              <c:pt idx="34">
                <c:v>0.73475279682425121</c:v>
              </c:pt>
              <c:pt idx="35">
                <c:v>0.80043305665824616</c:v>
              </c:pt>
              <c:pt idx="36">
                <c:v>0.77841934319740169</c:v>
              </c:pt>
              <c:pt idx="37">
                <c:v>0.73186575243594365</c:v>
              </c:pt>
              <c:pt idx="38">
                <c:v>0.71021291952363763</c:v>
              </c:pt>
              <c:pt idx="39">
                <c:v>0.65932876217971847</c:v>
              </c:pt>
              <c:pt idx="40">
                <c:v>0.76651028509563335</c:v>
              </c:pt>
              <c:pt idx="41">
                <c:v>0.79213280404186215</c:v>
              </c:pt>
              <c:pt idx="42">
                <c:v>0.7719234933237098</c:v>
              </c:pt>
              <c:pt idx="43">
                <c:v>0.76001443522194156</c:v>
              </c:pt>
              <c:pt idx="44">
                <c:v>0.72536990256225187</c:v>
              </c:pt>
              <c:pt idx="45">
                <c:v>0.78744135691086248</c:v>
              </c:pt>
              <c:pt idx="46">
                <c:v>0.70636753546684261</c:v>
              </c:pt>
              <c:pt idx="47">
                <c:v>0.67582597317631665</c:v>
              </c:pt>
              <c:pt idx="48">
                <c:v>0.6578180640984137</c:v>
              </c:pt>
              <c:pt idx="49">
                <c:v>0.62019688790092098</c:v>
              </c:pt>
              <c:pt idx="50">
                <c:v>0.70403302635757381</c:v>
              </c:pt>
              <c:pt idx="51">
                <c:v>0.71133693235947915</c:v>
              </c:pt>
              <c:pt idx="52">
                <c:v>0.71038424896792629</c:v>
              </c:pt>
              <c:pt idx="53">
                <c:v>0.71578278818672592</c:v>
              </c:pt>
              <c:pt idx="54">
                <c:v>0.66433788504287072</c:v>
              </c:pt>
              <c:pt idx="55">
                <c:v>0.71959352175293745</c:v>
              </c:pt>
              <c:pt idx="56">
                <c:v>0.88154969831692598</c:v>
              </c:pt>
              <c:pt idx="57">
                <c:v>0.72218670076726343</c:v>
              </c:pt>
              <c:pt idx="58">
                <c:v>0.6882992327365729</c:v>
              </c:pt>
              <c:pt idx="59">
                <c:v>0.63714833759590794</c:v>
              </c:pt>
              <c:pt idx="60">
                <c:v>0.69501278772378516</c:v>
              </c:pt>
              <c:pt idx="61">
                <c:v>0.70300511508951402</c:v>
              </c:pt>
              <c:pt idx="62">
                <c:v>0.67071611253196928</c:v>
              </c:pt>
              <c:pt idx="63">
                <c:v>0.7005383580080754</c:v>
              </c:pt>
              <c:pt idx="64">
                <c:v>0.63156123822341859</c:v>
              </c:pt>
              <c:pt idx="65">
                <c:v>0.7251009421265141</c:v>
              </c:pt>
              <c:pt idx="66">
                <c:v>0.7772543741588156</c:v>
              </c:pt>
              <c:pt idx="67">
                <c:v>0.81359353970390313</c:v>
              </c:pt>
              <c:pt idx="68">
                <c:v>0.75874831763122474</c:v>
              </c:pt>
              <c:pt idx="69">
                <c:v>0.70457604306864063</c:v>
              </c:pt>
              <c:pt idx="70">
                <c:v>0.76850605652759085</c:v>
              </c:pt>
              <c:pt idx="71">
                <c:v>0.85531628532974424</c:v>
              </c:pt>
              <c:pt idx="72">
                <c:v>0.86103633916554512</c:v>
              </c:pt>
              <c:pt idx="73">
                <c:v>0.7897039030955586</c:v>
              </c:pt>
              <c:pt idx="74">
                <c:v>0.87146702557200539</c:v>
              </c:pt>
              <c:pt idx="75">
                <c:v>0.9158815612382234</c:v>
              </c:pt>
              <c:pt idx="76">
                <c:v>0.92866756393001348</c:v>
              </c:pt>
              <c:pt idx="77">
                <c:v>0.76850605652759085</c:v>
              </c:pt>
              <c:pt idx="78">
                <c:v>0.75134589502018845</c:v>
              </c:pt>
              <c:pt idx="79">
                <c:v>0.9283310901749664</c:v>
              </c:pt>
              <c:pt idx="80">
                <c:v>0.95423956931359355</c:v>
              </c:pt>
              <c:pt idx="81">
                <c:v>0.88963660834454916</c:v>
              </c:pt>
              <c:pt idx="82">
                <c:v>0.86675639300134588</c:v>
              </c:pt>
              <c:pt idx="83">
                <c:v>0.84185733512785998</c:v>
              </c:pt>
              <c:pt idx="84">
                <c:v>0.90309555854643342</c:v>
              </c:pt>
              <c:pt idx="85">
                <c:v>0.86339165545087482</c:v>
              </c:pt>
              <c:pt idx="86">
                <c:v>0.83983849259757737</c:v>
              </c:pt>
              <c:pt idx="87">
                <c:v>0.84286675639300135</c:v>
              </c:pt>
              <c:pt idx="88">
                <c:v>0.80921938088829071</c:v>
              </c:pt>
              <c:pt idx="89">
                <c:v>0.87830687830687826</c:v>
              </c:pt>
              <c:pt idx="90">
                <c:v>0.92956349206349209</c:v>
              </c:pt>
              <c:pt idx="91">
                <c:v>0.91402116402116407</c:v>
              </c:pt>
              <c:pt idx="92">
                <c:v>0.87944162436548223</c:v>
              </c:pt>
              <c:pt idx="93">
                <c:v>0.84359137055837563</c:v>
              </c:pt>
              <c:pt idx="94">
                <c:v>0.90069796954314718</c:v>
              </c:pt>
              <c:pt idx="95">
                <c:v>0.8816624365482234</c:v>
              </c:pt>
              <c:pt idx="96">
                <c:v>0.87531725888324874</c:v>
              </c:pt>
              <c:pt idx="97">
                <c:v>0.84263959390862941</c:v>
              </c:pt>
              <c:pt idx="98">
                <c:v>0.80559924504561187</c:v>
              </c:pt>
              <c:pt idx="99">
                <c:v>0.87071406102547966</c:v>
              </c:pt>
              <c:pt idx="100">
                <c:v>0.90940547341931421</c:v>
              </c:pt>
              <c:pt idx="101">
                <c:v>0.90563070147845237</c:v>
              </c:pt>
              <c:pt idx="102">
                <c:v>0.89745202893991827</c:v>
              </c:pt>
              <c:pt idx="103">
                <c:v>0.85655866624724752</c:v>
              </c:pt>
              <c:pt idx="104">
                <c:v>0.81535073922617174</c:v>
              </c:pt>
              <c:pt idx="105">
                <c:v>0.88455489147530675</c:v>
              </c:pt>
              <c:pt idx="106">
                <c:v>0.87669078326517769</c:v>
              </c:pt>
              <c:pt idx="107">
                <c:v>0.87165775401069523</c:v>
              </c:pt>
              <c:pt idx="108">
                <c:v>0.88203837684806541</c:v>
              </c:pt>
              <c:pt idx="109">
                <c:v>0.86756841774142812</c:v>
              </c:pt>
              <c:pt idx="110">
                <c:v>0.83768480654293798</c:v>
              </c:pt>
              <c:pt idx="111">
                <c:v>0.88832966341616859</c:v>
              </c:pt>
              <c:pt idx="112">
                <c:v>0.86919315403422981</c:v>
              </c:pt>
              <c:pt idx="113">
                <c:v>0.84015892420537897</c:v>
              </c:pt>
              <c:pt idx="114">
                <c:v>0.80929095354523228</c:v>
              </c:pt>
              <c:pt idx="115">
                <c:v>0.79154929577464783</c:v>
              </c:pt>
              <c:pt idx="116">
                <c:v>0.94908862350722811</c:v>
              </c:pt>
              <c:pt idx="117">
                <c:v>0.85930735930735935</c:v>
              </c:pt>
              <c:pt idx="118">
                <c:v>0.87445887445887449</c:v>
              </c:pt>
              <c:pt idx="119">
                <c:v>0.81694495980210269</c:v>
              </c:pt>
              <c:pt idx="120">
                <c:v>0.78633271490414347</c:v>
              </c:pt>
              <c:pt idx="121">
                <c:v>0.78262213976499695</c:v>
              </c:pt>
              <c:pt idx="122">
                <c:v>0.79158936301793448</c:v>
              </c:pt>
              <c:pt idx="123">
                <c:v>0.77087198515769939</c:v>
              </c:pt>
              <c:pt idx="124">
                <c:v>0.70779220779220775</c:v>
              </c:pt>
              <c:pt idx="125">
                <c:v>0.7142857142857143</c:v>
              </c:pt>
              <c:pt idx="126">
                <c:v>0.78447742733457015</c:v>
              </c:pt>
              <c:pt idx="127">
                <c:v>0.7943722943722944</c:v>
              </c:pt>
              <c:pt idx="128">
                <c:v>0.85034013605442171</c:v>
              </c:pt>
              <c:pt idx="129">
                <c:v>0.83858998144712427</c:v>
              </c:pt>
              <c:pt idx="130">
                <c:v>0.78633271490414347</c:v>
              </c:pt>
              <c:pt idx="131">
                <c:v>0.84508348794063082</c:v>
              </c:pt>
              <c:pt idx="132">
                <c:v>0.86641929499072357</c:v>
              </c:pt>
              <c:pt idx="133">
                <c:v>0.82946918852959117</c:v>
              </c:pt>
              <c:pt idx="134">
                <c:v>0.81004901960784315</c:v>
              </c:pt>
              <c:pt idx="135">
                <c:v>0.79503676470588236</c:v>
              </c:pt>
              <c:pt idx="136">
                <c:v>0.83762254901960786</c:v>
              </c:pt>
              <c:pt idx="137">
                <c:v>0.79993872549019607</c:v>
              </c:pt>
              <c:pt idx="138">
                <c:v>0.82199754901960786</c:v>
              </c:pt>
              <c:pt idx="139">
                <c:v>0.77760922330097082</c:v>
              </c:pt>
              <c:pt idx="140">
                <c:v>0.77123786407766992</c:v>
              </c:pt>
              <c:pt idx="141">
                <c:v>0.80127427184466016</c:v>
              </c:pt>
              <c:pt idx="142">
                <c:v>0.82311893203883491</c:v>
              </c:pt>
              <c:pt idx="143">
                <c:v>0.82645631067961167</c:v>
              </c:pt>
              <c:pt idx="144">
                <c:v>0.81674757281553401</c:v>
              </c:pt>
              <c:pt idx="145">
                <c:v>0.78155339805825241</c:v>
              </c:pt>
              <c:pt idx="146">
                <c:v>0.80612864077669899</c:v>
              </c:pt>
              <c:pt idx="147">
                <c:v>0.82582781456953647</c:v>
              </c:pt>
              <c:pt idx="148">
                <c:v>0.80662251655629136</c:v>
              </c:pt>
              <c:pt idx="149">
                <c:v>0.77781456953642381</c:v>
              </c:pt>
              <c:pt idx="150">
                <c:v>0.80529801324503314</c:v>
              </c:pt>
              <c:pt idx="151">
                <c:v>0.90894039735099341</c:v>
              </c:pt>
              <c:pt idx="152">
                <c:v>0.97483443708609274</c:v>
              </c:pt>
              <c:pt idx="153">
                <c:v>0.94701986754966883</c:v>
              </c:pt>
              <c:pt idx="154">
                <c:v>0.92251655629139073</c:v>
              </c:pt>
              <c:pt idx="155">
                <c:v>0.87086092715231789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1B02-45FE-B2D4-4F36B87EC07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80009408"/>
        <c:axId val="380003528"/>
      </c:lineChart>
      <c:catAx>
        <c:axId val="3800094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003528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380003528"/>
        <c:scaling>
          <c:orientation val="minMax"/>
          <c:max val="1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00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4133685464459268"/>
          <c:y val="6.9902059479000134E-2"/>
          <c:w val="0.22668764216172266"/>
          <c:h val="4.89666048093351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[Occupancy Mei-Des 19.xlsx]PivotChartTable4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19048</xdr:colOff>
      <xdr:row>0</xdr:row>
      <xdr:rowOff>90486</xdr:rowOff>
    </xdr:from>
    <xdr:to>
      <xdr:col>22</xdr:col>
      <xdr:colOff>219075</xdr:colOff>
      <xdr:row>19</xdr:row>
      <xdr:rowOff>76199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90486</xdr:colOff>
      <xdr:row>20</xdr:row>
      <xdr:rowOff>157162</xdr:rowOff>
    </xdr:from>
    <xdr:to>
      <xdr:col>22</xdr:col>
      <xdr:colOff>238125</xdr:colOff>
      <xdr:row>40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104774</xdr:colOff>
      <xdr:row>41</xdr:row>
      <xdr:rowOff>100012</xdr:rowOff>
    </xdr:from>
    <xdr:to>
      <xdr:col>22</xdr:col>
      <xdr:colOff>304799</xdr:colOff>
      <xdr:row>58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1</xdr:row>
      <xdr:rowOff>14287</xdr:rowOff>
    </xdr:from>
    <xdr:to>
      <xdr:col>23</xdr:col>
      <xdr:colOff>428625</xdr:colOff>
      <xdr:row>24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Agus Bambang Irawan" refreshedDate="43815.343710416666" backgroundQuery="1" createdVersion="5" refreshedVersion="5" minRefreshableVersion="3" recordCount="0" supportSubquery="1" supportAdvancedDrill="1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Table7].[Tanggal].[Tanggal]" caption="Tanggal" numFmtId="0" hierarchy="28" level="1">
      <sharedItems containsSemiMixedTypes="0" containsNonDate="0" containsDate="1" containsString="0" minDate="2019-05-02T00:00:00" maxDate="2019-12-17T00:00:00" count="155">
        <d v="2019-05-02T00:00:00"/>
        <d v="2019-05-03T00:00:00"/>
        <d v="2019-05-04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18T00:00:00"/>
        <d v="2019-05-20T00:00:00"/>
        <d v="2019-05-21T00:00:00"/>
        <d v="2019-05-22T00:00:00"/>
        <d v="2019-05-23T00:00:00"/>
        <d v="2019-05-24T00:00:00"/>
        <d v="2019-05-25T00:00:00"/>
        <d v="2019-05-27T00:00:00"/>
        <d v="2019-05-28T00:00:00"/>
        <d v="2019-05-29T00:00:00"/>
        <d v="2019-05-30T00:00:00"/>
        <d v="2019-06-11T00:00:00"/>
        <d v="2019-06-12T00:00:00"/>
        <d v="2019-06-13T00:00:00"/>
        <d v="2019-06-14T00:00:00"/>
        <d v="2019-06-15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6-28T00:00:00"/>
        <d v="2019-07-01T00:00:00"/>
        <d v="2019-07-02T00:00:00"/>
        <d v="2019-07-03T00:00:00"/>
        <d v="2019-07-04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3T00:00:00"/>
        <d v="2019-08-14T00:00:00"/>
        <d v="2019-08-15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9-02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2T00:00:00"/>
        <d v="2019-10-03T00:00:00"/>
        <d v="2019-10-04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4T00:00:00"/>
        <d v="2019-10-25T00:00:00"/>
        <d v="2019-10-28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11T00:00:00"/>
        <d v="2019-11-12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8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</sharedItems>
    </cacheField>
    <cacheField name="[Measures].[Sum of Max 3]" caption="Sum of Max 3" numFmtId="0" hierarchy="40" level="32767"/>
    <cacheField name="[Measures].[Sum of Occupancy 3]" caption="Sum of Occupancy 3" numFmtId="0" hierarchy="41" level="32767"/>
  </cacheFields>
  <cacheHierarchies count="49">
    <cacheHierarchy uniqueName="[Table1].[Owner]" caption="Owner" attribute="1" defaultMemberUniqueName="[Table1].[Owner].[All]" allUniqueName="[Table1].[Owner].[All]" dimensionUniqueName="[Table1]" displayFolder="" count="0" memberValueDatatype="130" unbalanced="0"/>
    <cacheHierarchy uniqueName="[Table1].[Tanggal]" caption="Tanggal" attribute="1" time="1" defaultMemberUniqueName="[Table1].[Tanggal].[All]" allUniqueName="[Table1].[Tanggal].[All]" dimensionUniqueName="[Table1]" displayFolder="" count="0" memberValueDatatype="7" unbalanced="0"/>
    <cacheHierarchy uniqueName="[Table1].[Qty Lokasi]" caption="Qty Lokasi" attribute="1" defaultMemberUniqueName="[Table1].[Qty Lokasi].[All]" allUniqueName="[Table1].[Qty Lokasi].[All]" dimensionUniqueName="[Table1]" displayFolder="" count="0" memberValueDatatype="20" unbalanced="0"/>
    <cacheHierarchy uniqueName="[Table1].[Terpakai]" caption="Terpakai" attribute="1" defaultMemberUniqueName="[Table1].[Terpakai].[All]" allUniqueName="[Table1].[Terpakai].[All]" dimensionUniqueName="[Table1]" displayFolder="" count="0" memberValueDatatype="20" unbalanced="0"/>
    <cacheHierarchy uniqueName="[Table1].[Available]" caption="Available" attribute="1" defaultMemberUniqueName="[Table1].[Available].[All]" allUniqueName="[Table1].[Available].[All]" dimensionUniqueName="[Table1]" displayFolder="" count="0" memberValueDatatype="20" unbalanced="0"/>
    <cacheHierarchy uniqueName="[Table1].[Staging]" caption="Staging" attribute="1" defaultMemberUniqueName="[Table1].[Staging].[All]" allUniqueName="[Table1].[Staging].[All]" dimensionUniqueName="[Table1]" displayFolder="" count="0" memberValueDatatype="20" unbalanced="0"/>
    <cacheHierarchy uniqueName="[Table1].[Occupancy]" caption="Occupancy" attribute="1" defaultMemberUniqueName="[Table1].[Occupancy].[All]" allUniqueName="[Table1].[Occupancy].[All]" dimensionUniqueName="[Table1]" displayFolder="" count="0" memberValueDatatype="5" unbalanced="0"/>
    <cacheHierarchy uniqueName="[Table1].[Empty]" caption="Empty" attribute="1" defaultMemberUniqueName="[Table1].[Empty].[All]" allUniqueName="[Table1].[Empty].[All]" dimensionUniqueName="[Table1]" displayFolder="" count="0" memberValueDatatype="5" unbalanced="0"/>
    <cacheHierarchy uniqueName="[Table1].[Max]" caption="Max" attribute="1" defaultMemberUniqueName="[Table1].[Max].[All]" allUniqueName="[Table1].[Max].[All]" dimensionUniqueName="[Table1]" displayFolder="" count="0" memberValueDatatype="20" unbalanced="0"/>
    <cacheHierarchy uniqueName="[Table13].[Owner]" caption="Owner" attribute="1" defaultMemberUniqueName="[Table13].[Owner].[All]" allUniqueName="[Table13].[Owner].[All]" dimensionUniqueName="[Table13]" displayFolder="" count="0" memberValueDatatype="130" unbalanced="0"/>
    <cacheHierarchy uniqueName="[Table13].[Tanggal]" caption="Tanggal" attribute="1" time="1" defaultMemberUniqueName="[Table13].[Tanggal].[All]" allUniqueName="[Table13].[Tanggal].[All]" dimensionUniqueName="[Table13]" displayFolder="" count="0" memberValueDatatype="7" unbalanced="0"/>
    <cacheHierarchy uniqueName="[Table13].[Qty Lokasi]" caption="Qty Lokasi" attribute="1" defaultMemberUniqueName="[Table13].[Qty Lokasi].[All]" allUniqueName="[Table13].[Qty Lokasi].[All]" dimensionUniqueName="[Table13]" displayFolder="" count="0" memberValueDatatype="20" unbalanced="0"/>
    <cacheHierarchy uniqueName="[Table13].[Terpakai]" caption="Terpakai" attribute="1" defaultMemberUniqueName="[Table13].[Terpakai].[All]" allUniqueName="[Table13].[Terpakai].[All]" dimensionUniqueName="[Table13]" displayFolder="" count="0" memberValueDatatype="20" unbalanced="0"/>
    <cacheHierarchy uniqueName="[Table13].[Available]" caption="Available" attribute="1" defaultMemberUniqueName="[Table13].[Available].[All]" allUniqueName="[Table13].[Available].[All]" dimensionUniqueName="[Table13]" displayFolder="" count="0" memberValueDatatype="20" unbalanced="0"/>
    <cacheHierarchy uniqueName="[Table13].[Staging]" caption="Staging" attribute="1" defaultMemberUniqueName="[Table13].[Staging].[All]" allUniqueName="[Table13].[Staging].[All]" dimensionUniqueName="[Table13]" displayFolder="" count="0" memberValueDatatype="20" unbalanced="0"/>
    <cacheHierarchy uniqueName="[Table13].[Occupancy]" caption="Occupancy" attribute="1" defaultMemberUniqueName="[Table13].[Occupancy].[All]" allUniqueName="[Table13].[Occupancy].[All]" dimensionUniqueName="[Table13]" displayFolder="" count="0" memberValueDatatype="5" unbalanced="0"/>
    <cacheHierarchy uniqueName="[Table13].[Empty]" caption="Empty" attribute="1" defaultMemberUniqueName="[Table13].[Empty].[All]" allUniqueName="[Table13].[Empty].[All]" dimensionUniqueName="[Table13]" displayFolder="" count="0" memberValueDatatype="5" unbalanced="0"/>
    <cacheHierarchy uniqueName="[Table13].[Max]" caption="Max" attribute="1" defaultMemberUniqueName="[Table13].[Max].[All]" allUniqueName="[Table13].[Max].[All]" dimensionUniqueName="[Table13]" displayFolder="" count="0" memberValueDatatype="20" unbalanced="0"/>
    <cacheHierarchy uniqueName="[Table1345].[Owner]" caption="Owner" attribute="1" defaultMemberUniqueName="[Table1345].[Owner].[All]" allUniqueName="[Table1345].[Owner].[All]" dimensionUniqueName="[Table1345]" displayFolder="" count="0" memberValueDatatype="130" unbalanced="0"/>
    <cacheHierarchy uniqueName="[Table1345].[Tanggal]" caption="Tanggal" attribute="1" time="1" defaultMemberUniqueName="[Table1345].[Tanggal].[All]" allUniqueName="[Table1345].[Tanggal].[All]" dimensionUniqueName="[Table1345]" displayFolder="" count="0" memberValueDatatype="7" unbalanced="0"/>
    <cacheHierarchy uniqueName="[Table1345].[Qty Lokasi]" caption="Qty Lokasi" attribute="1" defaultMemberUniqueName="[Table1345].[Qty Lokasi].[All]" allUniqueName="[Table1345].[Qty Lokasi].[All]" dimensionUniqueName="[Table1345]" displayFolder="" count="0" memberValueDatatype="20" unbalanced="0"/>
    <cacheHierarchy uniqueName="[Table1345].[Terpakai]" caption="Terpakai" attribute="1" defaultMemberUniqueName="[Table1345].[Terpakai].[All]" allUniqueName="[Table1345].[Terpakai].[All]" dimensionUniqueName="[Table1345]" displayFolder="" count="0" memberValueDatatype="20" unbalanced="0"/>
    <cacheHierarchy uniqueName="[Table1345].[Available]" caption="Available" attribute="1" defaultMemberUniqueName="[Table1345].[Available].[All]" allUniqueName="[Table1345].[Available].[All]" dimensionUniqueName="[Table1345]" displayFolder="" count="0" memberValueDatatype="20" unbalanced="0"/>
    <cacheHierarchy uniqueName="[Table1345].[Staging]" caption="Staging" attribute="1" defaultMemberUniqueName="[Table1345].[Staging].[All]" allUniqueName="[Table1345].[Staging].[All]" dimensionUniqueName="[Table1345]" displayFolder="" count="0" memberValueDatatype="20" unbalanced="0"/>
    <cacheHierarchy uniqueName="[Table1345].[Occupancy]" caption="Occupancy" attribute="1" defaultMemberUniqueName="[Table1345].[Occupancy].[All]" allUniqueName="[Table1345].[Occupancy].[All]" dimensionUniqueName="[Table1345]" displayFolder="" count="0" memberValueDatatype="5" unbalanced="0"/>
    <cacheHierarchy uniqueName="[Table1345].[Empty]" caption="Empty" attribute="1" defaultMemberUniqueName="[Table1345].[Empty].[All]" allUniqueName="[Table1345].[Empty].[All]" dimensionUniqueName="[Table1345]" displayFolder="" count="0" memberValueDatatype="5" unbalanced="0"/>
    <cacheHierarchy uniqueName="[Table1345].[Max]" caption="Max" attribute="1" defaultMemberUniqueName="[Table1345].[Max].[All]" allUniqueName="[Table1345].[Max].[All]" dimensionUniqueName="[Table1345]" displayFolder="" count="0" memberValueDatatype="20" unbalanced="0"/>
    <cacheHierarchy uniqueName="[Table7].[Owner]" caption="Owner" attribute="1" defaultMemberUniqueName="[Table7].[Owner].[All]" allUniqueName="[Table7].[Owner].[All]" dimensionUniqueName="[Table7]" displayFolder="" count="0" memberValueDatatype="130" unbalanced="0"/>
    <cacheHierarchy uniqueName="[Table7].[Tanggal]" caption="Tanggal" attribute="1" time="1" defaultMemberUniqueName="[Table7].[Tanggal].[All]" allUniqueName="[Table7].[Tanggal].[All]" dimensionUniqueName="[Table7]" displayFolder="" count="2" memberValueDatatype="7" unbalanced="0">
      <fieldsUsage count="2">
        <fieldUsage x="-1"/>
        <fieldUsage x="0"/>
      </fieldsUsage>
    </cacheHierarchy>
    <cacheHierarchy uniqueName="[Table7].[Qty Lokasi]" caption="Qty Lokasi" attribute="1" defaultMemberUniqueName="[Table7].[Qty Lokasi].[All]" allUniqueName="[Table7].[Qty Lokasi].[All]" dimensionUniqueName="[Table7]" displayFolder="" count="0" memberValueDatatype="20" unbalanced="0"/>
    <cacheHierarchy uniqueName="[Table7].[Terpakai]" caption="Terpakai" attribute="1" defaultMemberUniqueName="[Table7].[Terpakai].[All]" allUniqueName="[Table7].[Terpakai].[All]" dimensionUniqueName="[Table7]" displayFolder="" count="0" memberValueDatatype="20" unbalanced="0"/>
    <cacheHierarchy uniqueName="[Table7].[Available]" caption="Available" attribute="1" defaultMemberUniqueName="[Table7].[Available].[All]" allUniqueName="[Table7].[Available].[All]" dimensionUniqueName="[Table7]" displayFolder="" count="0" memberValueDatatype="20" unbalanced="0"/>
    <cacheHierarchy uniqueName="[Table7].[Staging]" caption="Staging" attribute="1" defaultMemberUniqueName="[Table7].[Staging].[All]" allUniqueName="[Table7].[Staging].[All]" dimensionUniqueName="[Table7]" displayFolder="" count="0" memberValueDatatype="20" unbalanced="0"/>
    <cacheHierarchy uniqueName="[Table7].[Occupancy]" caption="Occupancy" attribute="1" defaultMemberUniqueName="[Table7].[Occupancy].[All]" allUniqueName="[Table7].[Occupancy].[All]" dimensionUniqueName="[Table7]" displayFolder="" count="0" memberValueDatatype="5" unbalanced="0"/>
    <cacheHierarchy uniqueName="[Table7].[Empty]" caption="Empty" attribute="1" defaultMemberUniqueName="[Table7].[Empty].[All]" allUniqueName="[Table7].[Empty].[All]" dimensionUniqueName="[Table7]" displayFolder="" count="0" memberValueDatatype="5" unbalanced="0"/>
    <cacheHierarchy uniqueName="[Table7].[Max]" caption="Max" attribute="1" defaultMemberUniqueName="[Table7].[Max].[All]" allUniqueName="[Table7].[Max].[All]" dimensionUniqueName="[Table7]" displayFolder="" count="0" memberValueDatatype="20" unbalanced="0"/>
    <cacheHierarchy uniqueName="[Measures].[Sum of Max]" caption="Sum of Max" measure="1" displayFolder="" measureGroup="Table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ccupancy]" caption="Sum of Occupancy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x 2]" caption="Sum of Max 2" measure="1" displayFolder="" measureGroup="Table13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Occupancy 2]" caption="Sum of Occupancy 2" measure="1" displayFolder="" measureGroup="Table13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Max 3]" caption="Sum of Max 3" measure="1" displayFolder="" measureGroup="Table7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ccupancy 3]" caption="Sum of Occupancy 3" measure="1" displayFolder="" measureGroup="Table7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Max 4]" caption="Sum of Max 4" measure="1" displayFolder="" measureGroup="Table1345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ccupancy 4]" caption="Sum of Occupancy 4" measure="1" displayFolder="" measureGroup="Table1345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__XL_Count Table1]" caption="__XL_Count Table1" measure="1" displayFolder="" measureGroup="Table1" count="0" hidden="1"/>
    <cacheHierarchy uniqueName="[Measures].[__XL_Count Table13]" caption="__XL_Count Table13" measure="1" displayFolder="" measureGroup="Table13" count="0" hidden="1"/>
    <cacheHierarchy uniqueName="[Measures].[__XL_Count Table7]" caption="__XL_Count Table7" measure="1" displayFolder="" measureGroup="Table7" count="0" hidden="1"/>
    <cacheHierarchy uniqueName="[Measures].[__XL_Count Table1345]" caption="__XL_Count Table1345" measure="1" displayFolder="" measureGroup="Table1345" count="0" hidden="1"/>
    <cacheHierarchy uniqueName="[Measures].[__XL_Count of Models]" caption="__XL_Count of Models" measure="1" displayFolder="" count="0" hidden="1"/>
  </cacheHierarchies>
  <kpis count="0"/>
  <dimensions count="5">
    <dimension measure="1" name="Measures" uniqueName="[Measures]" caption="Measures"/>
    <dimension name="Table1" uniqueName="[Table1]" caption="Table1"/>
    <dimension name="Table13" uniqueName="[Table13]" caption="Table13"/>
    <dimension name="Table1345" uniqueName="[Table1345]" caption="Table1345"/>
    <dimension name="Table7" uniqueName="[Table7]" caption="Table7"/>
  </dimensions>
  <measureGroups count="4">
    <measureGroup name="Table1" caption="Table1"/>
    <measureGroup name="Table13" caption="Table13"/>
    <measureGroup name="Table1345" caption="Table1345"/>
    <measureGroup name="Table7" caption="Table7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pivotCacheId="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Agus Bambang Irawan" refreshedDate="43815.343715277777" backgroundQuery="1" createdVersion="5" refreshedVersion="5" minRefreshableVersion="3" recordCount="0" supportSubquery="1" supportAdvancedDrill="1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Table1345].[Tanggal].[Tanggal]" caption="Tanggal" numFmtId="0" hierarchy="19" level="1">
      <sharedItems containsSemiMixedTypes="0" containsNonDate="0" containsDate="1" containsString="0" minDate="2019-05-02T00:00:00" maxDate="2019-12-17T00:00:00" count="156">
        <d v="2019-05-02T00:00:00"/>
        <d v="2019-05-03T00:00:00"/>
        <d v="2019-05-04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18T00:00:00"/>
        <d v="2019-05-20T00:00:00"/>
        <d v="2019-05-21T00:00:00"/>
        <d v="2019-05-22T00:00:00"/>
        <d v="2019-05-23T00:00:00"/>
        <d v="2019-05-24T00:00:00"/>
        <d v="2019-05-25T00:00:00"/>
        <d v="2019-05-27T00:00:00"/>
        <d v="2019-05-28T00:00:00"/>
        <d v="2019-05-29T00:00:00"/>
        <d v="2019-05-30T00:00:00"/>
        <d v="2019-06-11T00:00:00"/>
        <d v="2019-06-12T00:00:00"/>
        <d v="2019-06-13T00:00:00"/>
        <d v="2019-06-14T00:00:00"/>
        <d v="2019-06-15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6-28T00:00:00"/>
        <d v="2019-07-01T00:00:00"/>
        <d v="2019-07-02T00:00:00"/>
        <d v="2019-07-03T00:00:00"/>
        <d v="2019-07-04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3T00:00:00"/>
        <d v="2019-08-14T00:00:00"/>
        <d v="2019-08-15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2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2T00:00:00"/>
        <d v="2019-10-03T00:00:00"/>
        <d v="2019-10-04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4T00:00:00"/>
        <d v="2019-10-25T00:00:00"/>
        <d v="2019-10-28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11T00:00:00"/>
        <d v="2019-11-12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8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</sharedItems>
    </cacheField>
    <cacheField name="[Measures].[Sum of Max 4]" caption="Sum of Max 4" numFmtId="0" hierarchy="42" level="32767"/>
    <cacheField name="[Measures].[Sum of Occupancy 4]" caption="Sum of Occupancy 4" numFmtId="0" hierarchy="43" level="32767"/>
  </cacheFields>
  <cacheHierarchies count="49">
    <cacheHierarchy uniqueName="[Table1].[Owner]" caption="Owner" attribute="1" defaultMemberUniqueName="[Table1].[Owner].[All]" allUniqueName="[Table1].[Owner].[All]" dimensionUniqueName="[Table1]" displayFolder="" count="0" memberValueDatatype="130" unbalanced="0"/>
    <cacheHierarchy uniqueName="[Table1].[Tanggal]" caption="Tanggal" attribute="1" time="1" defaultMemberUniqueName="[Table1].[Tanggal].[All]" allUniqueName="[Table1].[Tanggal].[All]" dimensionUniqueName="[Table1]" displayFolder="" count="0" memberValueDatatype="7" unbalanced="0"/>
    <cacheHierarchy uniqueName="[Table1].[Qty Lokasi]" caption="Qty Lokasi" attribute="1" defaultMemberUniqueName="[Table1].[Qty Lokasi].[All]" allUniqueName="[Table1].[Qty Lokasi].[All]" dimensionUniqueName="[Table1]" displayFolder="" count="0" memberValueDatatype="20" unbalanced="0"/>
    <cacheHierarchy uniqueName="[Table1].[Terpakai]" caption="Terpakai" attribute="1" defaultMemberUniqueName="[Table1].[Terpakai].[All]" allUniqueName="[Table1].[Terpakai].[All]" dimensionUniqueName="[Table1]" displayFolder="" count="0" memberValueDatatype="20" unbalanced="0"/>
    <cacheHierarchy uniqueName="[Table1].[Available]" caption="Available" attribute="1" defaultMemberUniqueName="[Table1].[Available].[All]" allUniqueName="[Table1].[Available].[All]" dimensionUniqueName="[Table1]" displayFolder="" count="0" memberValueDatatype="20" unbalanced="0"/>
    <cacheHierarchy uniqueName="[Table1].[Staging]" caption="Staging" attribute="1" defaultMemberUniqueName="[Table1].[Staging].[All]" allUniqueName="[Table1].[Staging].[All]" dimensionUniqueName="[Table1]" displayFolder="" count="0" memberValueDatatype="20" unbalanced="0"/>
    <cacheHierarchy uniqueName="[Table1].[Occupancy]" caption="Occupancy" attribute="1" defaultMemberUniqueName="[Table1].[Occupancy].[All]" allUniqueName="[Table1].[Occupancy].[All]" dimensionUniqueName="[Table1]" displayFolder="" count="0" memberValueDatatype="5" unbalanced="0"/>
    <cacheHierarchy uniqueName="[Table1].[Empty]" caption="Empty" attribute="1" defaultMemberUniqueName="[Table1].[Empty].[All]" allUniqueName="[Table1].[Empty].[All]" dimensionUniqueName="[Table1]" displayFolder="" count="0" memberValueDatatype="5" unbalanced="0"/>
    <cacheHierarchy uniqueName="[Table1].[Max]" caption="Max" attribute="1" defaultMemberUniqueName="[Table1].[Max].[All]" allUniqueName="[Table1].[Max].[All]" dimensionUniqueName="[Table1]" displayFolder="" count="0" memberValueDatatype="20" unbalanced="0"/>
    <cacheHierarchy uniqueName="[Table13].[Owner]" caption="Owner" attribute="1" defaultMemberUniqueName="[Table13].[Owner].[All]" allUniqueName="[Table13].[Owner].[All]" dimensionUniqueName="[Table13]" displayFolder="" count="0" memberValueDatatype="130" unbalanced="0"/>
    <cacheHierarchy uniqueName="[Table13].[Tanggal]" caption="Tanggal" attribute="1" time="1" defaultMemberUniqueName="[Table13].[Tanggal].[All]" allUniqueName="[Table13].[Tanggal].[All]" dimensionUniqueName="[Table13]" displayFolder="" count="0" memberValueDatatype="7" unbalanced="0"/>
    <cacheHierarchy uniqueName="[Table13].[Qty Lokasi]" caption="Qty Lokasi" attribute="1" defaultMemberUniqueName="[Table13].[Qty Lokasi].[All]" allUniqueName="[Table13].[Qty Lokasi].[All]" dimensionUniqueName="[Table13]" displayFolder="" count="0" memberValueDatatype="20" unbalanced="0"/>
    <cacheHierarchy uniqueName="[Table13].[Terpakai]" caption="Terpakai" attribute="1" defaultMemberUniqueName="[Table13].[Terpakai].[All]" allUniqueName="[Table13].[Terpakai].[All]" dimensionUniqueName="[Table13]" displayFolder="" count="0" memberValueDatatype="20" unbalanced="0"/>
    <cacheHierarchy uniqueName="[Table13].[Available]" caption="Available" attribute="1" defaultMemberUniqueName="[Table13].[Available].[All]" allUniqueName="[Table13].[Available].[All]" dimensionUniqueName="[Table13]" displayFolder="" count="0" memberValueDatatype="20" unbalanced="0"/>
    <cacheHierarchy uniqueName="[Table13].[Staging]" caption="Staging" attribute="1" defaultMemberUniqueName="[Table13].[Staging].[All]" allUniqueName="[Table13].[Staging].[All]" dimensionUniqueName="[Table13]" displayFolder="" count="0" memberValueDatatype="20" unbalanced="0"/>
    <cacheHierarchy uniqueName="[Table13].[Occupancy]" caption="Occupancy" attribute="1" defaultMemberUniqueName="[Table13].[Occupancy].[All]" allUniqueName="[Table13].[Occupancy].[All]" dimensionUniqueName="[Table13]" displayFolder="" count="0" memberValueDatatype="5" unbalanced="0"/>
    <cacheHierarchy uniqueName="[Table13].[Empty]" caption="Empty" attribute="1" defaultMemberUniqueName="[Table13].[Empty].[All]" allUniqueName="[Table13].[Empty].[All]" dimensionUniqueName="[Table13]" displayFolder="" count="0" memberValueDatatype="5" unbalanced="0"/>
    <cacheHierarchy uniqueName="[Table13].[Max]" caption="Max" attribute="1" defaultMemberUniqueName="[Table13].[Max].[All]" allUniqueName="[Table13].[Max].[All]" dimensionUniqueName="[Table13]" displayFolder="" count="0" memberValueDatatype="20" unbalanced="0"/>
    <cacheHierarchy uniqueName="[Table1345].[Owner]" caption="Owner" attribute="1" defaultMemberUniqueName="[Table1345].[Owner].[All]" allUniqueName="[Table1345].[Owner].[All]" dimensionUniqueName="[Table1345]" displayFolder="" count="0" memberValueDatatype="130" unbalanced="0"/>
    <cacheHierarchy uniqueName="[Table1345].[Tanggal]" caption="Tanggal" attribute="1" time="1" defaultMemberUniqueName="[Table1345].[Tanggal].[All]" allUniqueName="[Table1345].[Tanggal].[All]" dimensionUniqueName="[Table1345]" displayFolder="" count="2" memberValueDatatype="7" unbalanced="0">
      <fieldsUsage count="2">
        <fieldUsage x="-1"/>
        <fieldUsage x="0"/>
      </fieldsUsage>
    </cacheHierarchy>
    <cacheHierarchy uniqueName="[Table1345].[Qty Lokasi]" caption="Qty Lokasi" attribute="1" defaultMemberUniqueName="[Table1345].[Qty Lokasi].[All]" allUniqueName="[Table1345].[Qty Lokasi].[All]" dimensionUniqueName="[Table1345]" displayFolder="" count="0" memberValueDatatype="20" unbalanced="0"/>
    <cacheHierarchy uniqueName="[Table1345].[Terpakai]" caption="Terpakai" attribute="1" defaultMemberUniqueName="[Table1345].[Terpakai].[All]" allUniqueName="[Table1345].[Terpakai].[All]" dimensionUniqueName="[Table1345]" displayFolder="" count="0" memberValueDatatype="20" unbalanced="0"/>
    <cacheHierarchy uniqueName="[Table1345].[Available]" caption="Available" attribute="1" defaultMemberUniqueName="[Table1345].[Available].[All]" allUniqueName="[Table1345].[Available].[All]" dimensionUniqueName="[Table1345]" displayFolder="" count="0" memberValueDatatype="20" unbalanced="0"/>
    <cacheHierarchy uniqueName="[Table1345].[Staging]" caption="Staging" attribute="1" defaultMemberUniqueName="[Table1345].[Staging].[All]" allUniqueName="[Table1345].[Staging].[All]" dimensionUniqueName="[Table1345]" displayFolder="" count="0" memberValueDatatype="20" unbalanced="0"/>
    <cacheHierarchy uniqueName="[Table1345].[Occupancy]" caption="Occupancy" attribute="1" defaultMemberUniqueName="[Table1345].[Occupancy].[All]" allUniqueName="[Table1345].[Occupancy].[All]" dimensionUniqueName="[Table1345]" displayFolder="" count="0" memberValueDatatype="5" unbalanced="0"/>
    <cacheHierarchy uniqueName="[Table1345].[Empty]" caption="Empty" attribute="1" defaultMemberUniqueName="[Table1345].[Empty].[All]" allUniqueName="[Table1345].[Empty].[All]" dimensionUniqueName="[Table1345]" displayFolder="" count="0" memberValueDatatype="5" unbalanced="0"/>
    <cacheHierarchy uniqueName="[Table1345].[Max]" caption="Max" attribute="1" defaultMemberUniqueName="[Table1345].[Max].[All]" allUniqueName="[Table1345].[Max].[All]" dimensionUniqueName="[Table1345]" displayFolder="" count="0" memberValueDatatype="20" unbalanced="0"/>
    <cacheHierarchy uniqueName="[Table7].[Owner]" caption="Owner" attribute="1" defaultMemberUniqueName="[Table7].[Owner].[All]" allUniqueName="[Table7].[Owner].[All]" dimensionUniqueName="[Table7]" displayFolder="" count="0" memberValueDatatype="130" unbalanced="0"/>
    <cacheHierarchy uniqueName="[Table7].[Tanggal]" caption="Tanggal" attribute="1" time="1" defaultMemberUniqueName="[Table7].[Tanggal].[All]" allUniqueName="[Table7].[Tanggal].[All]" dimensionUniqueName="[Table7]" displayFolder="" count="0" memberValueDatatype="7" unbalanced="0"/>
    <cacheHierarchy uniqueName="[Table7].[Qty Lokasi]" caption="Qty Lokasi" attribute="1" defaultMemberUniqueName="[Table7].[Qty Lokasi].[All]" allUniqueName="[Table7].[Qty Lokasi].[All]" dimensionUniqueName="[Table7]" displayFolder="" count="0" memberValueDatatype="20" unbalanced="0"/>
    <cacheHierarchy uniqueName="[Table7].[Terpakai]" caption="Terpakai" attribute="1" defaultMemberUniqueName="[Table7].[Terpakai].[All]" allUniqueName="[Table7].[Terpakai].[All]" dimensionUniqueName="[Table7]" displayFolder="" count="0" memberValueDatatype="20" unbalanced="0"/>
    <cacheHierarchy uniqueName="[Table7].[Available]" caption="Available" attribute="1" defaultMemberUniqueName="[Table7].[Available].[All]" allUniqueName="[Table7].[Available].[All]" dimensionUniqueName="[Table7]" displayFolder="" count="0" memberValueDatatype="20" unbalanced="0"/>
    <cacheHierarchy uniqueName="[Table7].[Staging]" caption="Staging" attribute="1" defaultMemberUniqueName="[Table7].[Staging].[All]" allUniqueName="[Table7].[Staging].[All]" dimensionUniqueName="[Table7]" displayFolder="" count="0" memberValueDatatype="20" unbalanced="0"/>
    <cacheHierarchy uniqueName="[Table7].[Occupancy]" caption="Occupancy" attribute="1" defaultMemberUniqueName="[Table7].[Occupancy].[All]" allUniqueName="[Table7].[Occupancy].[All]" dimensionUniqueName="[Table7]" displayFolder="" count="0" memberValueDatatype="5" unbalanced="0"/>
    <cacheHierarchy uniqueName="[Table7].[Empty]" caption="Empty" attribute="1" defaultMemberUniqueName="[Table7].[Empty].[All]" allUniqueName="[Table7].[Empty].[All]" dimensionUniqueName="[Table7]" displayFolder="" count="0" memberValueDatatype="5" unbalanced="0"/>
    <cacheHierarchy uniqueName="[Table7].[Max]" caption="Max" attribute="1" defaultMemberUniqueName="[Table7].[Max].[All]" allUniqueName="[Table7].[Max].[All]" dimensionUniqueName="[Table7]" displayFolder="" count="0" memberValueDatatype="20" unbalanced="0"/>
    <cacheHierarchy uniqueName="[Measures].[Sum of Max]" caption="Sum of Max" measure="1" displayFolder="" measureGroup="Table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ccupancy]" caption="Sum of Occupancy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x 2]" caption="Sum of Max 2" measure="1" displayFolder="" measureGroup="Table13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Occupancy 2]" caption="Sum of Occupancy 2" measure="1" displayFolder="" measureGroup="Table13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Max 3]" caption="Sum of Max 3" measure="1" displayFolder="" measureGroup="Table7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ccupancy 3]" caption="Sum of Occupancy 3" measure="1" displayFolder="" measureGroup="Table7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Max 4]" caption="Sum of Max 4" measure="1" displayFolder="" measureGroup="Table1345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ccupancy 4]" caption="Sum of Occupancy 4" measure="1" displayFolder="" measureGroup="Table1345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__XL_Count Table1]" caption="__XL_Count Table1" measure="1" displayFolder="" measureGroup="Table1" count="0" hidden="1"/>
    <cacheHierarchy uniqueName="[Measures].[__XL_Count Table13]" caption="__XL_Count Table13" measure="1" displayFolder="" measureGroup="Table13" count="0" hidden="1"/>
    <cacheHierarchy uniqueName="[Measures].[__XL_Count Table7]" caption="__XL_Count Table7" measure="1" displayFolder="" measureGroup="Table7" count="0" hidden="1"/>
    <cacheHierarchy uniqueName="[Measures].[__XL_Count Table1345]" caption="__XL_Count Table1345" measure="1" displayFolder="" measureGroup="Table1345" count="0" hidden="1"/>
    <cacheHierarchy uniqueName="[Measures].[__XL_Count of Models]" caption="__XL_Count of Models" measure="1" displayFolder="" count="0" hidden="1"/>
  </cacheHierarchies>
  <kpis count="0"/>
  <dimensions count="5">
    <dimension measure="1" name="Measures" uniqueName="[Measures]" caption="Measures"/>
    <dimension name="Table1" uniqueName="[Table1]" caption="Table1"/>
    <dimension name="Table13" uniqueName="[Table13]" caption="Table13"/>
    <dimension name="Table1345" uniqueName="[Table1345]" caption="Table1345"/>
    <dimension name="Table7" uniqueName="[Table7]" caption="Table7"/>
  </dimensions>
  <measureGroups count="4">
    <measureGroup name="Table1" caption="Table1"/>
    <measureGroup name="Table13" caption="Table13"/>
    <measureGroup name="Table1345" caption="Table1345"/>
    <measureGroup name="Table7" caption="Table7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pivotCacheId="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6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Agus Bambang Irawan" refreshedDate="43815.343721990743" backgroundQuery="1" createdVersion="5" refreshedVersion="5" minRefreshableVersion="3" recordCount="0" supportSubquery="1" supportAdvancedDrill="1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Table13].[Tanggal].[Tanggal]" caption="Tanggal" numFmtId="0" hierarchy="10" level="1">
      <sharedItems containsSemiMixedTypes="0" containsNonDate="0" containsDate="1" containsString="0" minDate="2019-05-02T00:00:00" maxDate="2019-12-17T00:00:00" count="154">
        <d v="2019-05-02T00:00:00"/>
        <d v="2019-05-03T00:00:00"/>
        <d v="2019-05-04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18T00:00:00"/>
        <d v="2019-05-20T00:00:00"/>
        <d v="2019-05-21T00:00:00"/>
        <d v="2019-05-22T00:00:00"/>
        <d v="2019-05-23T00:00:00"/>
        <d v="2019-05-24T00:00:00"/>
        <d v="2019-05-25T00:00:00"/>
        <d v="2019-05-27T00:00:00"/>
        <d v="2019-05-28T00:00:00"/>
        <d v="2019-05-29T00:00:00"/>
        <d v="2019-05-30T00:00:00"/>
        <d v="2019-06-11T00:00:00"/>
        <d v="2019-06-12T00:00:00"/>
        <d v="2019-06-13T00:00:00"/>
        <d v="2019-06-14T00:00:00"/>
        <d v="2019-06-15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7T00:00:00"/>
        <d v="2019-06-28T00:00:00"/>
        <d v="2019-07-01T00:00:00"/>
        <d v="2019-07-02T00:00:00"/>
        <d v="2019-07-03T00:00:00"/>
        <d v="2019-07-04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3T00:00:00"/>
        <d v="2019-08-14T00:00:00"/>
        <d v="2019-08-15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9-02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2T00:00:00"/>
        <d v="2019-10-03T00:00:00"/>
        <d v="2019-10-04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4T00:00:00"/>
        <d v="2019-10-25T00:00:00"/>
        <d v="2019-10-28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11T00:00:00"/>
        <d v="2019-11-12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8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</sharedItems>
    </cacheField>
    <cacheField name="[Measures].[Sum of Occupancy 2]" caption="Sum of Occupancy 2" numFmtId="0" hierarchy="39" level="32767"/>
  </cacheFields>
  <cacheHierarchies count="49">
    <cacheHierarchy uniqueName="[Table1].[Owner]" caption="Owner" attribute="1" defaultMemberUniqueName="[Table1].[Owner].[All]" allUniqueName="[Table1].[Owner].[All]" dimensionUniqueName="[Table1]" displayFolder="" count="0" memberValueDatatype="130" unbalanced="0"/>
    <cacheHierarchy uniqueName="[Table1].[Tanggal]" caption="Tanggal" attribute="1" time="1" defaultMemberUniqueName="[Table1].[Tanggal].[All]" allUniqueName="[Table1].[Tanggal].[All]" dimensionUniqueName="[Table1]" displayFolder="" count="0" memberValueDatatype="7" unbalanced="0"/>
    <cacheHierarchy uniqueName="[Table1].[Qty Lokasi]" caption="Qty Lokasi" attribute="1" defaultMemberUniqueName="[Table1].[Qty Lokasi].[All]" allUniqueName="[Table1].[Qty Lokasi].[All]" dimensionUniqueName="[Table1]" displayFolder="" count="0" memberValueDatatype="20" unbalanced="0"/>
    <cacheHierarchy uniqueName="[Table1].[Terpakai]" caption="Terpakai" attribute="1" defaultMemberUniqueName="[Table1].[Terpakai].[All]" allUniqueName="[Table1].[Terpakai].[All]" dimensionUniqueName="[Table1]" displayFolder="" count="0" memberValueDatatype="20" unbalanced="0"/>
    <cacheHierarchy uniqueName="[Table1].[Available]" caption="Available" attribute="1" defaultMemberUniqueName="[Table1].[Available].[All]" allUniqueName="[Table1].[Available].[All]" dimensionUniqueName="[Table1]" displayFolder="" count="0" memberValueDatatype="20" unbalanced="0"/>
    <cacheHierarchy uniqueName="[Table1].[Staging]" caption="Staging" attribute="1" defaultMemberUniqueName="[Table1].[Staging].[All]" allUniqueName="[Table1].[Staging].[All]" dimensionUniqueName="[Table1]" displayFolder="" count="0" memberValueDatatype="20" unbalanced="0"/>
    <cacheHierarchy uniqueName="[Table1].[Occupancy]" caption="Occupancy" attribute="1" defaultMemberUniqueName="[Table1].[Occupancy].[All]" allUniqueName="[Table1].[Occupancy].[All]" dimensionUniqueName="[Table1]" displayFolder="" count="0" memberValueDatatype="5" unbalanced="0"/>
    <cacheHierarchy uniqueName="[Table1].[Empty]" caption="Empty" attribute="1" defaultMemberUniqueName="[Table1].[Empty].[All]" allUniqueName="[Table1].[Empty].[All]" dimensionUniqueName="[Table1]" displayFolder="" count="0" memberValueDatatype="5" unbalanced="0"/>
    <cacheHierarchy uniqueName="[Table1].[Max]" caption="Max" attribute="1" defaultMemberUniqueName="[Table1].[Max].[All]" allUniqueName="[Table1].[Max].[All]" dimensionUniqueName="[Table1]" displayFolder="" count="0" memberValueDatatype="20" unbalanced="0"/>
    <cacheHierarchy uniqueName="[Table13].[Owner]" caption="Owner" attribute="1" defaultMemberUniqueName="[Table13].[Owner].[All]" allUniqueName="[Table13].[Owner].[All]" dimensionUniqueName="[Table13]" displayFolder="" count="0" memberValueDatatype="130" unbalanced="0"/>
    <cacheHierarchy uniqueName="[Table13].[Tanggal]" caption="Tanggal" attribute="1" time="1" defaultMemberUniqueName="[Table13].[Tanggal].[All]" allUniqueName="[Table13].[Tanggal].[All]" dimensionUniqueName="[Table13]" displayFolder="" count="2" memberValueDatatype="7" unbalanced="0">
      <fieldsUsage count="2">
        <fieldUsage x="-1"/>
        <fieldUsage x="0"/>
      </fieldsUsage>
    </cacheHierarchy>
    <cacheHierarchy uniqueName="[Table13].[Qty Lokasi]" caption="Qty Lokasi" attribute="1" defaultMemberUniqueName="[Table13].[Qty Lokasi].[All]" allUniqueName="[Table13].[Qty Lokasi].[All]" dimensionUniqueName="[Table13]" displayFolder="" count="0" memberValueDatatype="20" unbalanced="0"/>
    <cacheHierarchy uniqueName="[Table13].[Terpakai]" caption="Terpakai" attribute="1" defaultMemberUniqueName="[Table13].[Terpakai].[All]" allUniqueName="[Table13].[Terpakai].[All]" dimensionUniqueName="[Table13]" displayFolder="" count="0" memberValueDatatype="20" unbalanced="0"/>
    <cacheHierarchy uniqueName="[Table13].[Available]" caption="Available" attribute="1" defaultMemberUniqueName="[Table13].[Available].[All]" allUniqueName="[Table13].[Available].[All]" dimensionUniqueName="[Table13]" displayFolder="" count="0" memberValueDatatype="20" unbalanced="0"/>
    <cacheHierarchy uniqueName="[Table13].[Staging]" caption="Staging" attribute="1" defaultMemberUniqueName="[Table13].[Staging].[All]" allUniqueName="[Table13].[Staging].[All]" dimensionUniqueName="[Table13]" displayFolder="" count="0" memberValueDatatype="20" unbalanced="0"/>
    <cacheHierarchy uniqueName="[Table13].[Occupancy]" caption="Occupancy" attribute="1" defaultMemberUniqueName="[Table13].[Occupancy].[All]" allUniqueName="[Table13].[Occupancy].[All]" dimensionUniqueName="[Table13]" displayFolder="" count="0" memberValueDatatype="5" unbalanced="0"/>
    <cacheHierarchy uniqueName="[Table13].[Empty]" caption="Empty" attribute="1" defaultMemberUniqueName="[Table13].[Empty].[All]" allUniqueName="[Table13].[Empty].[All]" dimensionUniqueName="[Table13]" displayFolder="" count="0" memberValueDatatype="5" unbalanced="0"/>
    <cacheHierarchy uniqueName="[Table13].[Max]" caption="Max" attribute="1" defaultMemberUniqueName="[Table13].[Max].[All]" allUniqueName="[Table13].[Max].[All]" dimensionUniqueName="[Table13]" displayFolder="" count="0" memberValueDatatype="20" unbalanced="0"/>
    <cacheHierarchy uniqueName="[Table1345].[Owner]" caption="Owner" attribute="1" defaultMemberUniqueName="[Table1345].[Owner].[All]" allUniqueName="[Table1345].[Owner].[All]" dimensionUniqueName="[Table1345]" displayFolder="" count="0" memberValueDatatype="130" unbalanced="0"/>
    <cacheHierarchy uniqueName="[Table1345].[Tanggal]" caption="Tanggal" attribute="1" time="1" defaultMemberUniqueName="[Table1345].[Tanggal].[All]" allUniqueName="[Table1345].[Tanggal].[All]" dimensionUniqueName="[Table1345]" displayFolder="" count="0" memberValueDatatype="7" unbalanced="0"/>
    <cacheHierarchy uniqueName="[Table1345].[Qty Lokasi]" caption="Qty Lokasi" attribute="1" defaultMemberUniqueName="[Table1345].[Qty Lokasi].[All]" allUniqueName="[Table1345].[Qty Lokasi].[All]" dimensionUniqueName="[Table1345]" displayFolder="" count="0" memberValueDatatype="20" unbalanced="0"/>
    <cacheHierarchy uniqueName="[Table1345].[Terpakai]" caption="Terpakai" attribute="1" defaultMemberUniqueName="[Table1345].[Terpakai].[All]" allUniqueName="[Table1345].[Terpakai].[All]" dimensionUniqueName="[Table1345]" displayFolder="" count="0" memberValueDatatype="20" unbalanced="0"/>
    <cacheHierarchy uniqueName="[Table1345].[Available]" caption="Available" attribute="1" defaultMemberUniqueName="[Table1345].[Available].[All]" allUniqueName="[Table1345].[Available].[All]" dimensionUniqueName="[Table1345]" displayFolder="" count="0" memberValueDatatype="20" unbalanced="0"/>
    <cacheHierarchy uniqueName="[Table1345].[Staging]" caption="Staging" attribute="1" defaultMemberUniqueName="[Table1345].[Staging].[All]" allUniqueName="[Table1345].[Staging].[All]" dimensionUniqueName="[Table1345]" displayFolder="" count="0" memberValueDatatype="20" unbalanced="0"/>
    <cacheHierarchy uniqueName="[Table1345].[Occupancy]" caption="Occupancy" attribute="1" defaultMemberUniqueName="[Table1345].[Occupancy].[All]" allUniqueName="[Table1345].[Occupancy].[All]" dimensionUniqueName="[Table1345]" displayFolder="" count="0" memberValueDatatype="5" unbalanced="0"/>
    <cacheHierarchy uniqueName="[Table1345].[Empty]" caption="Empty" attribute="1" defaultMemberUniqueName="[Table1345].[Empty].[All]" allUniqueName="[Table1345].[Empty].[All]" dimensionUniqueName="[Table1345]" displayFolder="" count="0" memberValueDatatype="5" unbalanced="0"/>
    <cacheHierarchy uniqueName="[Table1345].[Max]" caption="Max" attribute="1" defaultMemberUniqueName="[Table1345].[Max].[All]" allUniqueName="[Table1345].[Max].[All]" dimensionUniqueName="[Table1345]" displayFolder="" count="0" memberValueDatatype="20" unbalanced="0"/>
    <cacheHierarchy uniqueName="[Table7].[Owner]" caption="Owner" attribute="1" defaultMemberUniqueName="[Table7].[Owner].[All]" allUniqueName="[Table7].[Owner].[All]" dimensionUniqueName="[Table7]" displayFolder="" count="0" memberValueDatatype="130" unbalanced="0"/>
    <cacheHierarchy uniqueName="[Table7].[Tanggal]" caption="Tanggal" attribute="1" time="1" defaultMemberUniqueName="[Table7].[Tanggal].[All]" allUniqueName="[Table7].[Tanggal].[All]" dimensionUniqueName="[Table7]" displayFolder="" count="0" memberValueDatatype="7" unbalanced="0"/>
    <cacheHierarchy uniqueName="[Table7].[Qty Lokasi]" caption="Qty Lokasi" attribute="1" defaultMemberUniqueName="[Table7].[Qty Lokasi].[All]" allUniqueName="[Table7].[Qty Lokasi].[All]" dimensionUniqueName="[Table7]" displayFolder="" count="0" memberValueDatatype="20" unbalanced="0"/>
    <cacheHierarchy uniqueName="[Table7].[Terpakai]" caption="Terpakai" attribute="1" defaultMemberUniqueName="[Table7].[Terpakai].[All]" allUniqueName="[Table7].[Terpakai].[All]" dimensionUniqueName="[Table7]" displayFolder="" count="0" memberValueDatatype="20" unbalanced="0"/>
    <cacheHierarchy uniqueName="[Table7].[Available]" caption="Available" attribute="1" defaultMemberUniqueName="[Table7].[Available].[All]" allUniqueName="[Table7].[Available].[All]" dimensionUniqueName="[Table7]" displayFolder="" count="0" memberValueDatatype="20" unbalanced="0"/>
    <cacheHierarchy uniqueName="[Table7].[Staging]" caption="Staging" attribute="1" defaultMemberUniqueName="[Table7].[Staging].[All]" allUniqueName="[Table7].[Staging].[All]" dimensionUniqueName="[Table7]" displayFolder="" count="0" memberValueDatatype="20" unbalanced="0"/>
    <cacheHierarchy uniqueName="[Table7].[Occupancy]" caption="Occupancy" attribute="1" defaultMemberUniqueName="[Table7].[Occupancy].[All]" allUniqueName="[Table7].[Occupancy].[All]" dimensionUniqueName="[Table7]" displayFolder="" count="0" memberValueDatatype="5" unbalanced="0"/>
    <cacheHierarchy uniqueName="[Table7].[Empty]" caption="Empty" attribute="1" defaultMemberUniqueName="[Table7].[Empty].[All]" allUniqueName="[Table7].[Empty].[All]" dimensionUniqueName="[Table7]" displayFolder="" count="0" memberValueDatatype="5" unbalanced="0"/>
    <cacheHierarchy uniqueName="[Table7].[Max]" caption="Max" attribute="1" defaultMemberUniqueName="[Table7].[Max].[All]" allUniqueName="[Table7].[Max].[All]" dimensionUniqueName="[Table7]" displayFolder="" count="0" memberValueDatatype="20" unbalanced="0"/>
    <cacheHierarchy uniqueName="[Measures].[Sum of Max]" caption="Sum of Max" measure="1" displayFolder="" measureGroup="Table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ccupancy]" caption="Sum of Occupancy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x 2]" caption="Sum of Max 2" measure="1" displayFolder="" measureGroup="Table13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Occupancy 2]" caption="Sum of Occupancy 2" measure="1" displayFolder="" measureGroup="Table13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Max 3]" caption="Sum of Max 3" measure="1" displayFolder="" measureGroup="Table7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ccupancy 3]" caption="Sum of Occupancy 3" measure="1" displayFolder="" measureGroup="Table7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Max 4]" caption="Sum of Max 4" measure="1" displayFolder="" measureGroup="Table1345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ccupancy 4]" caption="Sum of Occupancy 4" measure="1" displayFolder="" measureGroup="Table1345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__XL_Count Table1]" caption="__XL_Count Table1" measure="1" displayFolder="" measureGroup="Table1" count="0" hidden="1"/>
    <cacheHierarchy uniqueName="[Measures].[__XL_Count Table13]" caption="__XL_Count Table13" measure="1" displayFolder="" measureGroup="Table13" count="0" hidden="1"/>
    <cacheHierarchy uniqueName="[Measures].[__XL_Count Table7]" caption="__XL_Count Table7" measure="1" displayFolder="" measureGroup="Table7" count="0" hidden="1"/>
    <cacheHierarchy uniqueName="[Measures].[__XL_Count Table1345]" caption="__XL_Count Table1345" measure="1" displayFolder="" measureGroup="Table1345" count="0" hidden="1"/>
    <cacheHierarchy uniqueName="[Measures].[__XL_Count of Models]" caption="__XL_Count of Models" measure="1" displayFolder="" count="0" hidden="1"/>
  </cacheHierarchies>
  <kpis count="0"/>
  <dimensions count="5">
    <dimension measure="1" name="Measures" uniqueName="[Measures]" caption="Measures"/>
    <dimension name="Table1" uniqueName="[Table1]" caption="Table1"/>
    <dimension name="Table13" uniqueName="[Table13]" caption="Table13"/>
    <dimension name="Table1345" uniqueName="[Table1345]" caption="Table1345"/>
    <dimension name="Table7" uniqueName="[Table7]" caption="Table7"/>
  </dimensions>
  <measureGroups count="4">
    <measureGroup name="Table1" caption="Table1"/>
    <measureGroup name="Table13" caption="Table13"/>
    <measureGroup name="Table1345" caption="Table1345"/>
    <measureGroup name="Table7" caption="Table7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pivotCacheId="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6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Agus Bambang Irawan" refreshedDate="43815.343726273146" backgroundQuery="1" createdVersion="5" refreshedVersion="5" minRefreshableVersion="3" recordCount="0" supportSubquery="1" supportAdvancedDrill="1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Table1].[Tanggal].[Tanggal]" caption="Tanggal" numFmtId="0" hierarchy="1" level="1">
      <sharedItems containsSemiMixedTypes="0" containsNonDate="0" containsDate="1" containsString="0" minDate="2019-05-02T00:00:00" maxDate="2019-12-17T00:00:00" count="155">
        <d v="2019-05-02T00:00:00"/>
        <d v="2019-05-03T00:00:00"/>
        <d v="2019-05-04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18T00:00:00"/>
        <d v="2019-05-20T00:00:00"/>
        <d v="2019-05-21T00:00:00"/>
        <d v="2019-05-22T00:00:00"/>
        <d v="2019-05-23T00:00:00"/>
        <d v="2019-05-24T00:00:00"/>
        <d v="2019-05-25T00:00:00"/>
        <d v="2019-05-27T00:00:00"/>
        <d v="2019-05-28T00:00:00"/>
        <d v="2019-05-29T00:00:00"/>
        <d v="2019-05-30T00:00:00"/>
        <d v="2019-06-11T00:00:00"/>
        <d v="2019-06-12T00:00:00"/>
        <d v="2019-06-13T00:00:00"/>
        <d v="2019-06-14T00:00:00"/>
        <d v="2019-06-15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6-28T00:00:00"/>
        <d v="2019-07-01T00:00:00"/>
        <d v="2019-07-02T00:00:00"/>
        <d v="2019-07-03T00:00:00"/>
        <d v="2019-07-04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3T00:00:00"/>
        <d v="2019-08-14T00:00:00"/>
        <d v="2019-08-15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9-02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2T00:00:00"/>
        <d v="2019-10-03T00:00:00"/>
        <d v="2019-10-04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4T00:00:00"/>
        <d v="2019-10-25T00:00:00"/>
        <d v="2019-10-28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11T00:00:00"/>
        <d v="2019-11-12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8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</sharedItems>
    </cacheField>
    <cacheField name="[Measures].[Sum of Max]" caption="Sum of Max" numFmtId="0" hierarchy="36" level="32767"/>
    <cacheField name="[Measures].[Sum of Occupancy]" caption="Sum of Occupancy" numFmtId="0" hierarchy="37" level="32767"/>
  </cacheFields>
  <cacheHierarchies count="49">
    <cacheHierarchy uniqueName="[Table1].[Owner]" caption="Owner" attribute="1" defaultMemberUniqueName="[Table1].[Owner].[All]" allUniqueName="[Table1].[Owner].[All]" dimensionUniqueName="[Table1]" displayFolder="" count="0" memberValueDatatype="130" unbalanced="0"/>
    <cacheHierarchy uniqueName="[Table1].[Tanggal]" caption="Tanggal" attribute="1" time="1" defaultMemberUniqueName="[Table1].[Tanggal].[All]" allUniqueName="[Table1].[Tanggal].[All]" dimensionUniqueName="[Table1]" displayFolder="" count="2" memberValueDatatype="7" unbalanced="0">
      <fieldsUsage count="2">
        <fieldUsage x="-1"/>
        <fieldUsage x="0"/>
      </fieldsUsage>
    </cacheHierarchy>
    <cacheHierarchy uniqueName="[Table1].[Qty Lokasi]" caption="Qty Lokasi" attribute="1" defaultMemberUniqueName="[Table1].[Qty Lokasi].[All]" allUniqueName="[Table1].[Qty Lokasi].[All]" dimensionUniqueName="[Table1]" displayFolder="" count="0" memberValueDatatype="20" unbalanced="0"/>
    <cacheHierarchy uniqueName="[Table1].[Terpakai]" caption="Terpakai" attribute="1" defaultMemberUniqueName="[Table1].[Terpakai].[All]" allUniqueName="[Table1].[Terpakai].[All]" dimensionUniqueName="[Table1]" displayFolder="" count="0" memberValueDatatype="20" unbalanced="0"/>
    <cacheHierarchy uniqueName="[Table1].[Available]" caption="Available" attribute="1" defaultMemberUniqueName="[Table1].[Available].[All]" allUniqueName="[Table1].[Available].[All]" dimensionUniqueName="[Table1]" displayFolder="" count="0" memberValueDatatype="20" unbalanced="0"/>
    <cacheHierarchy uniqueName="[Table1].[Staging]" caption="Staging" attribute="1" defaultMemberUniqueName="[Table1].[Staging].[All]" allUniqueName="[Table1].[Staging].[All]" dimensionUniqueName="[Table1]" displayFolder="" count="0" memberValueDatatype="20" unbalanced="0"/>
    <cacheHierarchy uniqueName="[Table1].[Occupancy]" caption="Occupancy" attribute="1" defaultMemberUniqueName="[Table1].[Occupancy].[All]" allUniqueName="[Table1].[Occupancy].[All]" dimensionUniqueName="[Table1]" displayFolder="" count="0" memberValueDatatype="5" unbalanced="0"/>
    <cacheHierarchy uniqueName="[Table1].[Empty]" caption="Empty" attribute="1" defaultMemberUniqueName="[Table1].[Empty].[All]" allUniqueName="[Table1].[Empty].[All]" dimensionUniqueName="[Table1]" displayFolder="" count="0" memberValueDatatype="5" unbalanced="0"/>
    <cacheHierarchy uniqueName="[Table1].[Max]" caption="Max" attribute="1" defaultMemberUniqueName="[Table1].[Max].[All]" allUniqueName="[Table1].[Max].[All]" dimensionUniqueName="[Table1]" displayFolder="" count="0" memberValueDatatype="20" unbalanced="0"/>
    <cacheHierarchy uniqueName="[Table13].[Owner]" caption="Owner" attribute="1" defaultMemberUniqueName="[Table13].[Owner].[All]" allUniqueName="[Table13].[Owner].[All]" dimensionUniqueName="[Table13]" displayFolder="" count="0" memberValueDatatype="130" unbalanced="0"/>
    <cacheHierarchy uniqueName="[Table13].[Tanggal]" caption="Tanggal" attribute="1" time="1" defaultMemberUniqueName="[Table13].[Tanggal].[All]" allUniqueName="[Table13].[Tanggal].[All]" dimensionUniqueName="[Table13]" displayFolder="" count="0" memberValueDatatype="7" unbalanced="0"/>
    <cacheHierarchy uniqueName="[Table13].[Qty Lokasi]" caption="Qty Lokasi" attribute="1" defaultMemberUniqueName="[Table13].[Qty Lokasi].[All]" allUniqueName="[Table13].[Qty Lokasi].[All]" dimensionUniqueName="[Table13]" displayFolder="" count="0" memberValueDatatype="20" unbalanced="0"/>
    <cacheHierarchy uniqueName="[Table13].[Terpakai]" caption="Terpakai" attribute="1" defaultMemberUniqueName="[Table13].[Terpakai].[All]" allUniqueName="[Table13].[Terpakai].[All]" dimensionUniqueName="[Table13]" displayFolder="" count="0" memberValueDatatype="20" unbalanced="0"/>
    <cacheHierarchy uniqueName="[Table13].[Available]" caption="Available" attribute="1" defaultMemberUniqueName="[Table13].[Available].[All]" allUniqueName="[Table13].[Available].[All]" dimensionUniqueName="[Table13]" displayFolder="" count="0" memberValueDatatype="20" unbalanced="0"/>
    <cacheHierarchy uniqueName="[Table13].[Staging]" caption="Staging" attribute="1" defaultMemberUniqueName="[Table13].[Staging].[All]" allUniqueName="[Table13].[Staging].[All]" dimensionUniqueName="[Table13]" displayFolder="" count="0" memberValueDatatype="20" unbalanced="0"/>
    <cacheHierarchy uniqueName="[Table13].[Occupancy]" caption="Occupancy" attribute="1" defaultMemberUniqueName="[Table13].[Occupancy].[All]" allUniqueName="[Table13].[Occupancy].[All]" dimensionUniqueName="[Table13]" displayFolder="" count="0" memberValueDatatype="5" unbalanced="0"/>
    <cacheHierarchy uniqueName="[Table13].[Empty]" caption="Empty" attribute="1" defaultMemberUniqueName="[Table13].[Empty].[All]" allUniqueName="[Table13].[Empty].[All]" dimensionUniqueName="[Table13]" displayFolder="" count="0" memberValueDatatype="5" unbalanced="0"/>
    <cacheHierarchy uniqueName="[Table13].[Max]" caption="Max" attribute="1" defaultMemberUniqueName="[Table13].[Max].[All]" allUniqueName="[Table13].[Max].[All]" dimensionUniqueName="[Table13]" displayFolder="" count="0" memberValueDatatype="20" unbalanced="0"/>
    <cacheHierarchy uniqueName="[Table1345].[Owner]" caption="Owner" attribute="1" defaultMemberUniqueName="[Table1345].[Owner].[All]" allUniqueName="[Table1345].[Owner].[All]" dimensionUniqueName="[Table1345]" displayFolder="" count="0" memberValueDatatype="130" unbalanced="0"/>
    <cacheHierarchy uniqueName="[Table1345].[Tanggal]" caption="Tanggal" attribute="1" time="1" defaultMemberUniqueName="[Table1345].[Tanggal].[All]" allUniqueName="[Table1345].[Tanggal].[All]" dimensionUniqueName="[Table1345]" displayFolder="" count="0" memberValueDatatype="7" unbalanced="0"/>
    <cacheHierarchy uniqueName="[Table1345].[Qty Lokasi]" caption="Qty Lokasi" attribute="1" defaultMemberUniqueName="[Table1345].[Qty Lokasi].[All]" allUniqueName="[Table1345].[Qty Lokasi].[All]" dimensionUniqueName="[Table1345]" displayFolder="" count="0" memberValueDatatype="20" unbalanced="0"/>
    <cacheHierarchy uniqueName="[Table1345].[Terpakai]" caption="Terpakai" attribute="1" defaultMemberUniqueName="[Table1345].[Terpakai].[All]" allUniqueName="[Table1345].[Terpakai].[All]" dimensionUniqueName="[Table1345]" displayFolder="" count="0" memberValueDatatype="20" unbalanced="0"/>
    <cacheHierarchy uniqueName="[Table1345].[Available]" caption="Available" attribute="1" defaultMemberUniqueName="[Table1345].[Available].[All]" allUniqueName="[Table1345].[Available].[All]" dimensionUniqueName="[Table1345]" displayFolder="" count="0" memberValueDatatype="20" unbalanced="0"/>
    <cacheHierarchy uniqueName="[Table1345].[Staging]" caption="Staging" attribute="1" defaultMemberUniqueName="[Table1345].[Staging].[All]" allUniqueName="[Table1345].[Staging].[All]" dimensionUniqueName="[Table1345]" displayFolder="" count="0" memberValueDatatype="20" unbalanced="0"/>
    <cacheHierarchy uniqueName="[Table1345].[Occupancy]" caption="Occupancy" attribute="1" defaultMemberUniqueName="[Table1345].[Occupancy].[All]" allUniqueName="[Table1345].[Occupancy].[All]" dimensionUniqueName="[Table1345]" displayFolder="" count="0" memberValueDatatype="5" unbalanced="0"/>
    <cacheHierarchy uniqueName="[Table1345].[Empty]" caption="Empty" attribute="1" defaultMemberUniqueName="[Table1345].[Empty].[All]" allUniqueName="[Table1345].[Empty].[All]" dimensionUniqueName="[Table1345]" displayFolder="" count="0" memberValueDatatype="5" unbalanced="0"/>
    <cacheHierarchy uniqueName="[Table1345].[Max]" caption="Max" attribute="1" defaultMemberUniqueName="[Table1345].[Max].[All]" allUniqueName="[Table1345].[Max].[All]" dimensionUniqueName="[Table1345]" displayFolder="" count="0" memberValueDatatype="20" unbalanced="0"/>
    <cacheHierarchy uniqueName="[Table7].[Owner]" caption="Owner" attribute="1" defaultMemberUniqueName="[Table7].[Owner].[All]" allUniqueName="[Table7].[Owner].[All]" dimensionUniqueName="[Table7]" displayFolder="" count="0" memberValueDatatype="130" unbalanced="0"/>
    <cacheHierarchy uniqueName="[Table7].[Tanggal]" caption="Tanggal" attribute="1" time="1" defaultMemberUniqueName="[Table7].[Tanggal].[All]" allUniqueName="[Table7].[Tanggal].[All]" dimensionUniqueName="[Table7]" displayFolder="" count="0" memberValueDatatype="7" unbalanced="0"/>
    <cacheHierarchy uniqueName="[Table7].[Qty Lokasi]" caption="Qty Lokasi" attribute="1" defaultMemberUniqueName="[Table7].[Qty Lokasi].[All]" allUniqueName="[Table7].[Qty Lokasi].[All]" dimensionUniqueName="[Table7]" displayFolder="" count="0" memberValueDatatype="20" unbalanced="0"/>
    <cacheHierarchy uniqueName="[Table7].[Terpakai]" caption="Terpakai" attribute="1" defaultMemberUniqueName="[Table7].[Terpakai].[All]" allUniqueName="[Table7].[Terpakai].[All]" dimensionUniqueName="[Table7]" displayFolder="" count="0" memberValueDatatype="20" unbalanced="0"/>
    <cacheHierarchy uniqueName="[Table7].[Available]" caption="Available" attribute="1" defaultMemberUniqueName="[Table7].[Available].[All]" allUniqueName="[Table7].[Available].[All]" dimensionUniqueName="[Table7]" displayFolder="" count="0" memberValueDatatype="20" unbalanced="0"/>
    <cacheHierarchy uniqueName="[Table7].[Staging]" caption="Staging" attribute="1" defaultMemberUniqueName="[Table7].[Staging].[All]" allUniqueName="[Table7].[Staging].[All]" dimensionUniqueName="[Table7]" displayFolder="" count="0" memberValueDatatype="20" unbalanced="0"/>
    <cacheHierarchy uniqueName="[Table7].[Occupancy]" caption="Occupancy" attribute="1" defaultMemberUniqueName="[Table7].[Occupancy].[All]" allUniqueName="[Table7].[Occupancy].[All]" dimensionUniqueName="[Table7]" displayFolder="" count="0" memberValueDatatype="5" unbalanced="0"/>
    <cacheHierarchy uniqueName="[Table7].[Empty]" caption="Empty" attribute="1" defaultMemberUniqueName="[Table7].[Empty].[All]" allUniqueName="[Table7].[Empty].[All]" dimensionUniqueName="[Table7]" displayFolder="" count="0" memberValueDatatype="5" unbalanced="0"/>
    <cacheHierarchy uniqueName="[Table7].[Max]" caption="Max" attribute="1" defaultMemberUniqueName="[Table7].[Max].[All]" allUniqueName="[Table7].[Max].[All]" dimensionUniqueName="[Table7]" displayFolder="" count="0" memberValueDatatype="20" unbalanced="0"/>
    <cacheHierarchy uniqueName="[Measures].[Sum of Max]" caption="Sum of Max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ccupancy]" caption="Sum of Occupancy" measure="1" displayFolder="" measureGroup="Table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x 2]" caption="Sum of Max 2" measure="1" displayFolder="" measureGroup="Table13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Occupancy 2]" caption="Sum of Occupancy 2" measure="1" displayFolder="" measureGroup="Table13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Max 3]" caption="Sum of Max 3" measure="1" displayFolder="" measureGroup="Table7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ccupancy 3]" caption="Sum of Occupancy 3" measure="1" displayFolder="" measureGroup="Table7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Max 4]" caption="Sum of Max 4" measure="1" displayFolder="" measureGroup="Table1345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ccupancy 4]" caption="Sum of Occupancy 4" measure="1" displayFolder="" measureGroup="Table1345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__XL_Count Table1]" caption="__XL_Count Table1" measure="1" displayFolder="" measureGroup="Table1" count="0" hidden="1"/>
    <cacheHierarchy uniqueName="[Measures].[__XL_Count Table13]" caption="__XL_Count Table13" measure="1" displayFolder="" measureGroup="Table13" count="0" hidden="1"/>
    <cacheHierarchy uniqueName="[Measures].[__XL_Count Table7]" caption="__XL_Count Table7" measure="1" displayFolder="" measureGroup="Table7" count="0" hidden="1"/>
    <cacheHierarchy uniqueName="[Measures].[__XL_Count Table1345]" caption="__XL_Count Table1345" measure="1" displayFolder="" measureGroup="Table1345" count="0" hidden="1"/>
    <cacheHierarchy uniqueName="[Measures].[__XL_Count of Models]" caption="__XL_Count of Models" measure="1" displayFolder="" count="0" hidden="1"/>
  </cacheHierarchies>
  <kpis count="0"/>
  <dimensions count="5">
    <dimension measure="1" name="Measures" uniqueName="[Measures]" caption="Measures"/>
    <dimension name="Table1" uniqueName="[Table1]" caption="Table1"/>
    <dimension name="Table13" uniqueName="[Table13]" caption="Table13"/>
    <dimension name="Table1345" uniqueName="[Table1345]" caption="Table1345"/>
    <dimension name="Table7" uniqueName="[Table7]" caption="Table7"/>
  </dimensions>
  <measureGroups count="4">
    <measureGroup name="Table1" caption="Table1"/>
    <measureGroup name="Table13" caption="Table13"/>
    <measureGroup name="Table1345" caption="Table1345"/>
    <measureGroup name="Table7" caption="Table7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pivotCacheId="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6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ChartTable4" cacheId="5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outline="1" outlineData="1" multipleFieldFilters="0" chartFormat="1">
  <location ref="A1:C158" firstHeaderRow="0" firstDataRow="1" firstDataCol="1"/>
  <pivotFields count="3">
    <pivotField axis="axisRow" allDrilled="1" showAll="0" dataSourceSort="1" defaultAttributeDrillState="1">
      <items count="1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dataField="1" showAll="0"/>
    <pivotField dataField="1" showAll="0"/>
  </pivotFields>
  <rowFields count="1">
    <field x="0"/>
  </rowFields>
  <rowItems count="1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 t="grand">
      <x/>
    </i>
  </rowItems>
  <colFields count="1">
    <field x="-2"/>
  </colFields>
  <colItems count="2">
    <i>
      <x/>
    </i>
    <i i="1">
      <x v="1"/>
    </i>
  </colItems>
  <dataFields count="2">
    <dataField name="Capacity" fld="1" baseField="0" baseItem="0"/>
    <dataField name="Occupancy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57" columnCount="2" cacheId="4">
        <x15:pivotRow count="2">
          <x15:c>
            <x15:v>1</x15:v>
          </x15:c>
          <x15:c>
            <x15:v>0.86430891374954888</x15:v>
          </x15:c>
        </x15:pivotRow>
        <x15:pivotRow count="2">
          <x15:c>
            <x15:v>1</x15:v>
          </x15:c>
          <x15:c>
            <x15:v>0.89787080476362324</x15:v>
          </x15:c>
        </x15:pivotRow>
        <x15:pivotRow count="2">
          <x15:c>
            <x15:v>1</x15:v>
          </x15:c>
          <x15:c>
            <x15:v>0.93684590400577406</x15:v>
          </x15:c>
        </x15:pivotRow>
        <x15:pivotRow count="2">
          <x15:c>
            <x15:v>1</x15:v>
          </x15:c>
          <x15:c>
            <x15:v>0.87152652472031755</x15:v>
          </x15:c>
        </x15:pivotRow>
        <x15:pivotRow count="2">
          <x15:c>
            <x15:v>1</x15:v>
          </x15:c>
          <x15:c>
            <x15:v>0.97942980873330932</x15:v>
          </x15:c>
        </x15:pivotRow>
        <x15:pivotRow count="2">
          <x15:c>
            <x15:v>1</x15:v>
          </x15:c>
          <x15:c>
            <x15:v>0.97726452544207865</x15:v>
          </x15:c>
        </x15:pivotRow>
        <x15:pivotRow count="2">
          <x15:c>
            <x15:v>1</x15:v>
          </x15:c>
          <x15:c>
            <x15:v>0.95849873691808007</x15:v>
          </x15:c>
        </x15:pivotRow>
        <x15:pivotRow count="2">
          <x15:c>
            <x15:v>1</x15:v>
          </x15:c>
          <x15:c>
            <x15:v>0.90653193792854569</x15:v>
          </x15:c>
        </x15:pivotRow>
        <x15:pivotRow count="2">
          <x15:c>
            <x15:v>1</x15:v>
          </x15:c>
          <x15:c>
            <x15:v>0.89245759653554668</x15:v>
          </x15:c>
        </x15:pivotRow>
        <x15:pivotRow count="2">
          <x15:c>
            <x15:v>1</x15:v>
          </x15:c>
          <x15:c>
            <x15:v>0.91627571273908337</x15:v>
          </x15:c>
        </x15:pivotRow>
        <x15:pivotRow count="2">
          <x15:c>
            <x15:v>1</x15:v>
          </x15:c>
          <x15:c>
            <x15:v>0.9206062793215446</x15:v>
          </x15:c>
        </x15:pivotRow>
        <x15:pivotRow count="2">
          <x15:c>
            <x15:v>1</x15:v>
          </x15:c>
          <x15:c>
            <x15:v>0.9000360880548538</x15:v>
          </x15:c>
        </x15:pivotRow>
        <x15:pivotRow count="2">
          <x15:c>
            <x15:v>1</x15:v>
          </x15:c>
          <x15:c>
            <x15:v>0.84698664741970409</x15:v>
          </x15:c>
        </x15:pivotRow>
        <x15:pivotRow count="2">
          <x15:c>
            <x15:v>1</x15:v>
          </x15:c>
          <x15:c>
            <x15:v>0.83182966438108985</x15:v>
          </x15:c>
        </x15:pivotRow>
        <x15:pivotRow count="2">
          <x15:c>
            <x15:v>1</x15:v>
          </x15:c>
          <x15:c>
            <x15:v>0.82172500902201373</x15:v>
          </x15:c>
        </x15:pivotRow>
        <x15:pivotRow count="2">
          <x15:c>
            <x15:v>1</x15:v>
          </x15:c>
          <x15:c>
            <x15:v>0.84157343919162753</x15:v>
          </x15:c>
        </x15:pivotRow>
        <x15:pivotRow count="2">
          <x15:c>
            <x15:v>1</x15:v>
          </x15:c>
          <x15:c>
            <x15:v>0.82425117286178273</x15:v>
          </x15:c>
        </x15:pivotRow>
        <x15:pivotRow count="2">
          <x15:c>
            <x15:v>1</x15:v>
          </x15:c>
          <x15:c>
            <x15:v>0.79321544568747748</x15:v>
          </x15:c>
        </x15:pivotRow>
        <x15:pivotRow count="2">
          <x15:c>
            <x15:v>1</x15:v>
          </x15:c>
          <x15:c>
            <x15:v>0.76470588235294112</x15:v>
          </x15:c>
        </x15:pivotRow>
        <x15:pivotRow count="2">
          <x15:c>
            <x15:v>1</x15:v>
          </x15:c>
          <x15:c>
            <x15:v>0.71779141104294475</x15:v>
          </x15:c>
        </x15:pivotRow>
        <x15:pivotRow count="2">
          <x15:c>
            <x15:v>1</x15:v>
          </x15:c>
          <x15:c>
            <x15:v>0.71598700830025264</x15:v>
          </x15:c>
        </x15:pivotRow>
        <x15:pivotRow count="2">
          <x15:c>
            <x15:v>1</x15:v>
          </x15:c>
          <x15:c>
            <x15:v>0.71273908336340674</x15:v>
          </x15:c>
        </x15:pivotRow>
        <x15:pivotRow count="2">
          <x15:c>
            <x15:v>1</x15:v>
          </x15:c>
          <x15:c>
            <x15:v>0.79935041501263082</x15:v>
          </x15:c>
        </x15:pivotRow>
        <x15:pivotRow count="2">
          <x15:c>
            <x15:v>1</x15:v>
          </x15:c>
          <x15:c>
            <x15:v>0.752075063154096</x15:v>
          </x15:c>
        </x15:pivotRow>
        <x15:pivotRow count="2">
          <x15:c>
            <x15:v>1</x15:v>
          </x15:c>
          <x15:c>
            <x15:v>0.74594009382894266</x15:v>
          </x15:c>
        </x15:pivotRow>
        <x15:pivotRow count="2">
          <x15:c>
            <x15:v>1</x15:v>
          </x15:c>
          <x15:c>
            <x15:v>0.78094550703717069</x15:v>
          </x15:c>
        </x15:pivotRow>
        <x15:pivotRow count="2">
          <x15:c>
            <x15:v>1</x15:v>
          </x15:c>
          <x15:c>
            <x15:v>0.86106098881270299</x15:v>
          </x15:c>
        </x15:pivotRow>
        <x15:pivotRow count="2">
          <x15:c>
            <x15:v>1</x15:v>
          </x15:c>
          <x15:c>
            <x15:v>0.86214363045831832</x15:v>
          </x15:c>
        </x15:pivotRow>
        <x15:pivotRow count="2">
          <x15:c>
            <x15:v>1</x15:v>
          </x15:c>
          <x15:c>
            <x15:v>0.85167809455070376</x15:v>
          </x15:c>
        </x15:pivotRow>
        <x15:pivotRow count="2">
          <x15:c>
            <x15:v>1</x15:v>
          </x15:c>
          <x15:c>
            <x15:v>0.80620714543486105</x15:v>
          </x15:c>
        </x15:pivotRow>
        <x15:pivotRow count="2">
          <x15:c>
            <x15:v>1</x15:v>
          </x15:c>
          <x15:c>
            <x15:v>0.79898953446409238</x15:v>
          </x15:c>
        </x15:pivotRow>
        <x15:pivotRow count="2">
          <x15:c>
            <x15:v>1</x15:v>
          </x15:c>
          <x15:c>
            <x15:v>0.84987369180801153</x15:v>
          </x15:c>
        </x15:pivotRow>
        <x15:pivotRow count="2">
          <x15:c>
            <x15:v>1</x15:v>
          </x15:c>
          <x15:c>
            <x15:v>0.79790689281847704</x15:v>
          </x15:c>
        </x15:pivotRow>
        <x15:pivotRow count="2">
          <x15:c>
            <x15:v>1</x15:v>
          </x15:c>
          <x15:c>
            <x15:v>0.77372789606640202</x15:v>
          </x15:c>
        </x15:pivotRow>
        <x15:pivotRow count="2">
          <x15:c>
            <x15:v>1</x15:v>
          </x15:c>
          <x15:c>
            <x15:v>0.73475279682425121</x15:v>
          </x15:c>
        </x15:pivotRow>
        <x15:pivotRow count="2">
          <x15:c>
            <x15:v>1</x15:v>
          </x15:c>
          <x15:c>
            <x15:v>0.80043305665824616</x15:v>
          </x15:c>
        </x15:pivotRow>
        <x15:pivotRow count="2">
          <x15:c>
            <x15:v>1</x15:v>
          </x15:c>
          <x15:c>
            <x15:v>0.77841934319740169</x15:v>
          </x15:c>
        </x15:pivotRow>
        <x15:pivotRow count="2">
          <x15:c>
            <x15:v>1</x15:v>
          </x15:c>
          <x15:c>
            <x15:v>0.73186575243594365</x15:v>
          </x15:c>
        </x15:pivotRow>
        <x15:pivotRow count="2">
          <x15:c>
            <x15:v>1</x15:v>
          </x15:c>
          <x15:c>
            <x15:v>0.71021291952363763</x15:v>
          </x15:c>
        </x15:pivotRow>
        <x15:pivotRow count="2">
          <x15:c>
            <x15:v>1</x15:v>
          </x15:c>
          <x15:c>
            <x15:v>0.65932876217971847</x15:v>
          </x15:c>
        </x15:pivotRow>
        <x15:pivotRow count="2">
          <x15:c>
            <x15:v>1</x15:v>
          </x15:c>
          <x15:c>
            <x15:v>0.76651028509563335</x15:v>
          </x15:c>
        </x15:pivotRow>
        <x15:pivotRow count="2">
          <x15:c>
            <x15:v>1</x15:v>
          </x15:c>
          <x15:c>
            <x15:v>0.79213280404186215</x15:v>
          </x15:c>
        </x15:pivotRow>
        <x15:pivotRow count="2">
          <x15:c>
            <x15:v>1</x15:v>
          </x15:c>
          <x15:c>
            <x15:v>0.7719234933237098</x15:v>
          </x15:c>
        </x15:pivotRow>
        <x15:pivotRow count="2">
          <x15:c>
            <x15:v>1</x15:v>
          </x15:c>
          <x15:c>
            <x15:v>0.76001443522194156</x15:v>
          </x15:c>
        </x15:pivotRow>
        <x15:pivotRow count="2">
          <x15:c>
            <x15:v>1</x15:v>
          </x15:c>
          <x15:c>
            <x15:v>0.72536990256225187</x15:v>
          </x15:c>
        </x15:pivotRow>
        <x15:pivotRow count="2">
          <x15:c>
            <x15:v>1</x15:v>
          </x15:c>
          <x15:c>
            <x15:v>0.78744135691086248</x15:v>
          </x15:c>
        </x15:pivotRow>
        <x15:pivotRow count="2">
          <x15:c>
            <x15:v>1</x15:v>
          </x15:c>
          <x15:c>
            <x15:v>0.70636753546684261</x15:v>
          </x15:c>
        </x15:pivotRow>
        <x15:pivotRow count="2">
          <x15:c>
            <x15:v>1</x15:v>
          </x15:c>
          <x15:c>
            <x15:v>0.67582597317631665</x15:v>
          </x15:c>
        </x15:pivotRow>
        <x15:pivotRow count="2">
          <x15:c>
            <x15:v>1</x15:v>
          </x15:c>
          <x15:c>
            <x15:v>0.6578180640984137</x15:v>
          </x15:c>
        </x15:pivotRow>
        <x15:pivotRow count="2">
          <x15:c>
            <x15:v>1</x15:v>
          </x15:c>
          <x15:c>
            <x15:v>0.62019688790092098</x15:v>
          </x15:c>
        </x15:pivotRow>
        <x15:pivotRow count="2">
          <x15:c>
            <x15:v>1</x15:v>
          </x15:c>
          <x15:c>
            <x15:v>0.70403302635757381</x15:v>
          </x15:c>
        </x15:pivotRow>
        <x15:pivotRow count="2">
          <x15:c>
            <x15:v>1</x15:v>
          </x15:c>
          <x15:c>
            <x15:v>0.71133693235947915</x15:v>
          </x15:c>
        </x15:pivotRow>
        <x15:pivotRow count="2">
          <x15:c>
            <x15:v>1</x15:v>
          </x15:c>
          <x15:c>
            <x15:v>0.71038424896792629</x15:v>
          </x15:c>
        </x15:pivotRow>
        <x15:pivotRow count="2">
          <x15:c>
            <x15:v>1</x15:v>
          </x15:c>
          <x15:c>
            <x15:v>0.71578278818672592</x15:v>
          </x15:c>
        </x15:pivotRow>
        <x15:pivotRow count="2">
          <x15:c>
            <x15:v>1</x15:v>
          </x15:c>
          <x15:c>
            <x15:v>0.66433788504287072</x15:v>
          </x15:c>
        </x15:pivotRow>
        <x15:pivotRow count="2">
          <x15:c>
            <x15:v>1</x15:v>
          </x15:c>
          <x15:c>
            <x15:v>0.71959352175293745</x15:v>
          </x15:c>
        </x15:pivotRow>
        <x15:pivotRow count="2">
          <x15:c>
            <x15:v>1</x15:v>
          </x15:c>
          <x15:c>
            <x15:v>0.88154969831692598</x15:v>
          </x15:c>
        </x15:pivotRow>
        <x15:pivotRow count="2">
          <x15:c>
            <x15:v>1</x15:v>
          </x15:c>
          <x15:c>
            <x15:v>0.72218670076726343</x15:v>
          </x15:c>
        </x15:pivotRow>
        <x15:pivotRow count="2">
          <x15:c>
            <x15:v>1</x15:v>
          </x15:c>
          <x15:c>
            <x15:v>0.6882992327365729</x15:v>
          </x15:c>
        </x15:pivotRow>
        <x15:pivotRow count="2">
          <x15:c>
            <x15:v>1</x15:v>
          </x15:c>
          <x15:c>
            <x15:v>0.63714833759590794</x15:v>
          </x15:c>
        </x15:pivotRow>
        <x15:pivotRow count="2">
          <x15:c>
            <x15:v>1</x15:v>
          </x15:c>
          <x15:c>
            <x15:v>0.69501278772378516</x15:v>
          </x15:c>
        </x15:pivotRow>
        <x15:pivotRow count="2">
          <x15:c>
            <x15:v>1</x15:v>
          </x15:c>
          <x15:c>
            <x15:v>0.70300511508951402</x15:v>
          </x15:c>
        </x15:pivotRow>
        <x15:pivotRow count="2">
          <x15:c>
            <x15:v>1</x15:v>
          </x15:c>
          <x15:c>
            <x15:v>0.67071611253196928</x15:v>
          </x15:c>
        </x15:pivotRow>
        <x15:pivotRow count="2">
          <x15:c>
            <x15:v>1</x15:v>
          </x15:c>
          <x15:c>
            <x15:v>0.7005383580080754</x15:v>
          </x15:c>
        </x15:pivotRow>
        <x15:pivotRow count="2">
          <x15:c>
            <x15:v>1</x15:v>
          </x15:c>
          <x15:c>
            <x15:v>0.63156123822341859</x15:v>
          </x15:c>
        </x15:pivotRow>
        <x15:pivotRow count="2">
          <x15:c>
            <x15:v>1</x15:v>
          </x15:c>
          <x15:c>
            <x15:v>0.7251009421265141</x15:v>
          </x15:c>
        </x15:pivotRow>
        <x15:pivotRow count="2">
          <x15:c>
            <x15:v>1</x15:v>
          </x15:c>
          <x15:c>
            <x15:v>0.7772543741588156</x15:v>
          </x15:c>
        </x15:pivotRow>
        <x15:pivotRow count="2">
          <x15:c>
            <x15:v>1</x15:v>
          </x15:c>
          <x15:c>
            <x15:v>0.81359353970390313</x15:v>
          </x15:c>
        </x15:pivotRow>
        <x15:pivotRow count="2">
          <x15:c>
            <x15:v>1</x15:v>
          </x15:c>
          <x15:c>
            <x15:v>0.75874831763122474</x15:v>
          </x15:c>
        </x15:pivotRow>
        <x15:pivotRow count="2">
          <x15:c>
            <x15:v>1</x15:v>
          </x15:c>
          <x15:c>
            <x15:v>0.70457604306864063</x15:v>
          </x15:c>
        </x15:pivotRow>
        <x15:pivotRow count="2">
          <x15:c>
            <x15:v>1</x15:v>
          </x15:c>
          <x15:c>
            <x15:v>0.76850605652759085</x15:v>
          </x15:c>
        </x15:pivotRow>
        <x15:pivotRow count="2">
          <x15:c>
            <x15:v>1</x15:v>
          </x15:c>
          <x15:c>
            <x15:v>0.85531628532974424</x15:v>
          </x15:c>
        </x15:pivotRow>
        <x15:pivotRow count="2">
          <x15:c>
            <x15:v>1</x15:v>
          </x15:c>
          <x15:c>
            <x15:v>0.86103633916554512</x15:v>
          </x15:c>
        </x15:pivotRow>
        <x15:pivotRow count="2">
          <x15:c>
            <x15:v>1</x15:v>
          </x15:c>
          <x15:c>
            <x15:v>0.7897039030955586</x15:v>
          </x15:c>
        </x15:pivotRow>
        <x15:pivotRow count="2">
          <x15:c>
            <x15:v>1</x15:v>
          </x15:c>
          <x15:c>
            <x15:v>0.87146702557200539</x15:v>
          </x15:c>
        </x15:pivotRow>
        <x15:pivotRow count="2">
          <x15:c>
            <x15:v>1</x15:v>
          </x15:c>
          <x15:c>
            <x15:v>0.9158815612382234</x15:v>
          </x15:c>
        </x15:pivotRow>
        <x15:pivotRow count="2">
          <x15:c>
            <x15:v>1</x15:v>
          </x15:c>
          <x15:c>
            <x15:v>0.92866756393001348</x15:v>
          </x15:c>
        </x15:pivotRow>
        <x15:pivotRow count="2">
          <x15:c>
            <x15:v>1</x15:v>
          </x15:c>
          <x15:c>
            <x15:v>0.76850605652759085</x15:v>
          </x15:c>
        </x15:pivotRow>
        <x15:pivotRow count="2">
          <x15:c>
            <x15:v>1</x15:v>
          </x15:c>
          <x15:c>
            <x15:v>0.75134589502018845</x15:v>
          </x15:c>
        </x15:pivotRow>
        <x15:pivotRow count="2">
          <x15:c>
            <x15:v>1</x15:v>
          </x15:c>
          <x15:c>
            <x15:v>0.9283310901749664</x15:v>
          </x15:c>
        </x15:pivotRow>
        <x15:pivotRow count="2">
          <x15:c>
            <x15:v>1</x15:v>
          </x15:c>
          <x15:c>
            <x15:v>0.95423956931359355</x15:v>
          </x15:c>
        </x15:pivotRow>
        <x15:pivotRow count="2">
          <x15:c>
            <x15:v>1</x15:v>
          </x15:c>
          <x15:c>
            <x15:v>0.88963660834454916</x15:v>
          </x15:c>
        </x15:pivotRow>
        <x15:pivotRow count="2">
          <x15:c>
            <x15:v>1</x15:v>
          </x15:c>
          <x15:c>
            <x15:v>0.86675639300134588</x15:v>
          </x15:c>
        </x15:pivotRow>
        <x15:pivotRow count="2">
          <x15:c>
            <x15:v>1</x15:v>
          </x15:c>
          <x15:c>
            <x15:v>0.84185733512785998</x15:v>
          </x15:c>
        </x15:pivotRow>
        <x15:pivotRow count="2">
          <x15:c>
            <x15:v>1</x15:v>
          </x15:c>
          <x15:c>
            <x15:v>0.90309555854643342</x15:v>
          </x15:c>
        </x15:pivotRow>
        <x15:pivotRow count="2">
          <x15:c>
            <x15:v>1</x15:v>
          </x15:c>
          <x15:c>
            <x15:v>0.86339165545087482</x15:v>
          </x15:c>
        </x15:pivotRow>
        <x15:pivotRow count="2">
          <x15:c>
            <x15:v>1</x15:v>
          </x15:c>
          <x15:c>
            <x15:v>0.83983849259757737</x15:v>
          </x15:c>
        </x15:pivotRow>
        <x15:pivotRow count="2">
          <x15:c>
            <x15:v>1</x15:v>
          </x15:c>
          <x15:c>
            <x15:v>0.84286675639300135</x15:v>
          </x15:c>
        </x15:pivotRow>
        <x15:pivotRow count="2">
          <x15:c>
            <x15:v>1</x15:v>
          </x15:c>
          <x15:c>
            <x15:v>0.80921938088829071</x15:v>
          </x15:c>
        </x15:pivotRow>
        <x15:pivotRow count="2">
          <x15:c>
            <x15:v>1</x15:v>
          </x15:c>
          <x15:c>
            <x15:v>0.87830687830687826</x15:v>
          </x15:c>
        </x15:pivotRow>
        <x15:pivotRow count="2">
          <x15:c>
            <x15:v>1</x15:v>
          </x15:c>
          <x15:c>
            <x15:v>0.92956349206349209</x15:v>
          </x15:c>
        </x15:pivotRow>
        <x15:pivotRow count="2">
          <x15:c>
            <x15:v>1</x15:v>
          </x15:c>
          <x15:c>
            <x15:v>0.91402116402116407</x15:v>
          </x15:c>
        </x15:pivotRow>
        <x15:pivotRow count="2">
          <x15:c>
            <x15:v>1</x15:v>
          </x15:c>
          <x15:c>
            <x15:v>0.87944162436548223</x15:v>
          </x15:c>
        </x15:pivotRow>
        <x15:pivotRow count="2">
          <x15:c>
            <x15:v>1</x15:v>
          </x15:c>
          <x15:c>
            <x15:v>0.84359137055837563</x15:v>
          </x15:c>
        </x15:pivotRow>
        <x15:pivotRow count="2">
          <x15:c>
            <x15:v>1</x15:v>
          </x15:c>
          <x15:c>
            <x15:v>0.90069796954314718</x15:v>
          </x15:c>
        </x15:pivotRow>
        <x15:pivotRow count="2">
          <x15:c>
            <x15:v>1</x15:v>
          </x15:c>
          <x15:c>
            <x15:v>0.8816624365482234</x15:v>
          </x15:c>
        </x15:pivotRow>
        <x15:pivotRow count="2">
          <x15:c>
            <x15:v>1</x15:v>
          </x15:c>
          <x15:c>
            <x15:v>0.87531725888324874</x15:v>
          </x15:c>
        </x15:pivotRow>
        <x15:pivotRow count="2">
          <x15:c>
            <x15:v>1</x15:v>
          </x15:c>
          <x15:c>
            <x15:v>0.84263959390862941</x15:v>
          </x15:c>
        </x15:pivotRow>
        <x15:pivotRow count="2">
          <x15:c>
            <x15:v>1</x15:v>
          </x15:c>
          <x15:c>
            <x15:v>0.80559924504561187</x15:v>
          </x15:c>
        </x15:pivotRow>
        <x15:pivotRow count="2">
          <x15:c>
            <x15:v>1</x15:v>
          </x15:c>
          <x15:c>
            <x15:v>0.87071406102547966</x15:v>
          </x15:c>
        </x15:pivotRow>
        <x15:pivotRow count="2">
          <x15:c>
            <x15:v>1</x15:v>
          </x15:c>
          <x15:c>
            <x15:v>0.90940547341931421</x15:v>
          </x15:c>
        </x15:pivotRow>
        <x15:pivotRow count="2">
          <x15:c>
            <x15:v>1</x15:v>
          </x15:c>
          <x15:c>
            <x15:v>0.90563070147845237</x15:v>
          </x15:c>
        </x15:pivotRow>
        <x15:pivotRow count="2">
          <x15:c>
            <x15:v>1</x15:v>
          </x15:c>
          <x15:c>
            <x15:v>0.89745202893991827</x15:v>
          </x15:c>
        </x15:pivotRow>
        <x15:pivotRow count="2">
          <x15:c>
            <x15:v>1</x15:v>
          </x15:c>
          <x15:c>
            <x15:v>0.85655866624724752</x15:v>
          </x15:c>
        </x15:pivotRow>
        <x15:pivotRow count="2">
          <x15:c>
            <x15:v>1</x15:v>
          </x15:c>
          <x15:c>
            <x15:v>0.81535073922617174</x15:v>
          </x15:c>
        </x15:pivotRow>
        <x15:pivotRow count="2">
          <x15:c>
            <x15:v>1</x15:v>
          </x15:c>
          <x15:c>
            <x15:v>0.88455489147530675</x15:v>
          </x15:c>
        </x15:pivotRow>
        <x15:pivotRow count="2">
          <x15:c>
            <x15:v>1</x15:v>
          </x15:c>
          <x15:c>
            <x15:v>0.87669078326517769</x15:v>
          </x15:c>
        </x15:pivotRow>
        <x15:pivotRow count="2">
          <x15:c>
            <x15:v>1</x15:v>
          </x15:c>
          <x15:c>
            <x15:v>0.87165775401069523</x15:v>
          </x15:c>
        </x15:pivotRow>
        <x15:pivotRow count="2">
          <x15:c>
            <x15:v>1</x15:v>
          </x15:c>
          <x15:c>
            <x15:v>0.88203837684806541</x15:v>
          </x15:c>
        </x15:pivotRow>
        <x15:pivotRow count="2">
          <x15:c>
            <x15:v>1</x15:v>
          </x15:c>
          <x15:c>
            <x15:v>0.86756841774142812</x15:v>
          </x15:c>
        </x15:pivotRow>
        <x15:pivotRow count="2">
          <x15:c>
            <x15:v>1</x15:v>
          </x15:c>
          <x15:c>
            <x15:v>0.83768480654293798</x15:v>
          </x15:c>
        </x15:pivotRow>
        <x15:pivotRow count="2">
          <x15:c>
            <x15:v>1</x15:v>
          </x15:c>
          <x15:c>
            <x15:v>0.88832966341616859</x15:v>
          </x15:c>
        </x15:pivotRow>
        <x15:pivotRow count="2">
          <x15:c>
            <x15:v>1</x15:v>
          </x15:c>
          <x15:c>
            <x15:v>0.86919315403422981</x15:v>
          </x15:c>
        </x15:pivotRow>
        <x15:pivotRow count="2">
          <x15:c>
            <x15:v>1</x15:v>
          </x15:c>
          <x15:c>
            <x15:v>0.84015892420537897</x15:v>
          </x15:c>
        </x15:pivotRow>
        <x15:pivotRow count="2">
          <x15:c>
            <x15:v>1</x15:v>
          </x15:c>
          <x15:c>
            <x15:v>0.80929095354523228</x15:v>
          </x15:c>
        </x15:pivotRow>
        <x15:pivotRow count="2">
          <x15:c>
            <x15:v>1</x15:v>
          </x15:c>
          <x15:c>
            <x15:v>0.79154929577464783</x15:v>
          </x15:c>
        </x15:pivotRow>
        <x15:pivotRow count="2">
          <x15:c>
            <x15:v>1</x15:v>
          </x15:c>
          <x15:c>
            <x15:v>0.94908862350722811</x15:v>
          </x15:c>
        </x15:pivotRow>
        <x15:pivotRow count="2">
          <x15:c>
            <x15:v>1</x15:v>
          </x15:c>
          <x15:c>
            <x15:v>0.85930735930735935</x15:v>
          </x15:c>
        </x15:pivotRow>
        <x15:pivotRow count="2">
          <x15:c>
            <x15:v>1</x15:v>
          </x15:c>
          <x15:c>
            <x15:v>0.87445887445887449</x15:v>
          </x15:c>
        </x15:pivotRow>
        <x15:pivotRow count="2">
          <x15:c>
            <x15:v>1</x15:v>
          </x15:c>
          <x15:c>
            <x15:v>0.81694495980210269</x15:v>
          </x15:c>
        </x15:pivotRow>
        <x15:pivotRow count="2">
          <x15:c>
            <x15:v>1</x15:v>
          </x15:c>
          <x15:c>
            <x15:v>0.78633271490414347</x15:v>
          </x15:c>
        </x15:pivotRow>
        <x15:pivotRow count="2">
          <x15:c>
            <x15:v>1</x15:v>
          </x15:c>
          <x15:c>
            <x15:v>0.78262213976499695</x15:v>
          </x15:c>
        </x15:pivotRow>
        <x15:pivotRow count="2">
          <x15:c>
            <x15:v>1</x15:v>
          </x15:c>
          <x15:c>
            <x15:v>0.79158936301793448</x15:v>
          </x15:c>
        </x15:pivotRow>
        <x15:pivotRow count="2">
          <x15:c>
            <x15:v>1</x15:v>
          </x15:c>
          <x15:c>
            <x15:v>0.77087198515769939</x15:v>
          </x15:c>
        </x15:pivotRow>
        <x15:pivotRow count="2">
          <x15:c>
            <x15:v>1</x15:v>
          </x15:c>
          <x15:c>
            <x15:v>0.70779220779220775</x15:v>
          </x15:c>
        </x15:pivotRow>
        <x15:pivotRow count="2">
          <x15:c>
            <x15:v>1</x15:v>
          </x15:c>
          <x15:c>
            <x15:v>0.7142857142857143</x15:v>
          </x15:c>
        </x15:pivotRow>
        <x15:pivotRow count="2">
          <x15:c>
            <x15:v>1</x15:v>
          </x15:c>
          <x15:c>
            <x15:v>0.78447742733457015</x15:v>
          </x15:c>
        </x15:pivotRow>
        <x15:pivotRow count="2">
          <x15:c>
            <x15:v>1</x15:v>
          </x15:c>
          <x15:c>
            <x15:v>0.7943722943722944</x15:v>
          </x15:c>
        </x15:pivotRow>
        <x15:pivotRow count="2">
          <x15:c>
            <x15:v>1</x15:v>
          </x15:c>
          <x15:c>
            <x15:v>0.85034013605442171</x15:v>
          </x15:c>
        </x15:pivotRow>
        <x15:pivotRow count="2">
          <x15:c>
            <x15:v>1</x15:v>
          </x15:c>
          <x15:c>
            <x15:v>0.83858998144712427</x15:v>
          </x15:c>
        </x15:pivotRow>
        <x15:pivotRow count="2">
          <x15:c>
            <x15:v>1</x15:v>
          </x15:c>
          <x15:c>
            <x15:v>0.78633271490414347</x15:v>
          </x15:c>
        </x15:pivotRow>
        <x15:pivotRow count="2">
          <x15:c>
            <x15:v>1</x15:v>
          </x15:c>
          <x15:c>
            <x15:v>0.84508348794063082</x15:v>
          </x15:c>
        </x15:pivotRow>
        <x15:pivotRow count="2">
          <x15:c>
            <x15:v>1</x15:v>
          </x15:c>
          <x15:c>
            <x15:v>0.86641929499072357</x15:v>
          </x15:c>
        </x15:pivotRow>
        <x15:pivotRow count="2">
          <x15:c>
            <x15:v>1</x15:v>
          </x15:c>
          <x15:c>
            <x15:v>0.82946918852959117</x15:v>
          </x15:c>
        </x15:pivotRow>
        <x15:pivotRow count="2">
          <x15:c>
            <x15:v>1</x15:v>
          </x15:c>
          <x15:c>
            <x15:v>0.81004901960784315</x15:v>
          </x15:c>
        </x15:pivotRow>
        <x15:pivotRow count="2">
          <x15:c>
            <x15:v>1</x15:v>
          </x15:c>
          <x15:c>
            <x15:v>0.79503676470588236</x15:v>
          </x15:c>
        </x15:pivotRow>
        <x15:pivotRow count="2">
          <x15:c>
            <x15:v>1</x15:v>
          </x15:c>
          <x15:c>
            <x15:v>0.83762254901960786</x15:v>
          </x15:c>
        </x15:pivotRow>
        <x15:pivotRow count="2">
          <x15:c>
            <x15:v>1</x15:v>
          </x15:c>
          <x15:c>
            <x15:v>0.79993872549019607</x15:v>
          </x15:c>
        </x15:pivotRow>
        <x15:pivotRow count="2">
          <x15:c>
            <x15:v>1</x15:v>
          </x15:c>
          <x15:c>
            <x15:v>0.82199754901960786</x15:v>
          </x15:c>
        </x15:pivotRow>
        <x15:pivotRow count="2">
          <x15:c>
            <x15:v>1</x15:v>
          </x15:c>
          <x15:c>
            <x15:v>0.77760922330097082</x15:v>
          </x15:c>
        </x15:pivotRow>
        <x15:pivotRow count="2">
          <x15:c>
            <x15:v>1</x15:v>
          </x15:c>
          <x15:c>
            <x15:v>0.77123786407766992</x15:v>
          </x15:c>
        </x15:pivotRow>
        <x15:pivotRow count="2">
          <x15:c>
            <x15:v>1</x15:v>
          </x15:c>
          <x15:c>
            <x15:v>0.80127427184466016</x15:v>
          </x15:c>
        </x15:pivotRow>
        <x15:pivotRow count="2">
          <x15:c>
            <x15:v>1</x15:v>
          </x15:c>
          <x15:c>
            <x15:v>0.82311893203883491</x15:v>
          </x15:c>
        </x15:pivotRow>
        <x15:pivotRow count="2">
          <x15:c>
            <x15:v>1</x15:v>
          </x15:c>
          <x15:c>
            <x15:v>0.82645631067961167</x15:v>
          </x15:c>
        </x15:pivotRow>
        <x15:pivotRow count="2">
          <x15:c>
            <x15:v>1</x15:v>
          </x15:c>
          <x15:c>
            <x15:v>0.81674757281553401</x15:v>
          </x15:c>
        </x15:pivotRow>
        <x15:pivotRow count="2">
          <x15:c>
            <x15:v>1</x15:v>
          </x15:c>
          <x15:c>
            <x15:v>0.78155339805825241</x15:v>
          </x15:c>
        </x15:pivotRow>
        <x15:pivotRow count="2">
          <x15:c>
            <x15:v>1</x15:v>
          </x15:c>
          <x15:c>
            <x15:v>0.80612864077669899</x15:v>
          </x15:c>
        </x15:pivotRow>
        <x15:pivotRow count="2">
          <x15:c>
            <x15:v>1</x15:v>
          </x15:c>
          <x15:c>
            <x15:v>0.82582781456953647</x15:v>
          </x15:c>
        </x15:pivotRow>
        <x15:pivotRow count="2">
          <x15:c>
            <x15:v>1</x15:v>
          </x15:c>
          <x15:c>
            <x15:v>0.80662251655629136</x15:v>
          </x15:c>
        </x15:pivotRow>
        <x15:pivotRow count="2">
          <x15:c>
            <x15:v>1</x15:v>
          </x15:c>
          <x15:c>
            <x15:v>0.77781456953642381</x15:v>
          </x15:c>
        </x15:pivotRow>
        <x15:pivotRow count="2">
          <x15:c>
            <x15:v>1</x15:v>
          </x15:c>
          <x15:c>
            <x15:v>0.80529801324503314</x15:v>
          </x15:c>
        </x15:pivotRow>
        <x15:pivotRow count="2">
          <x15:c>
            <x15:v>1</x15:v>
          </x15:c>
          <x15:c>
            <x15:v>0.90894039735099341</x15:v>
          </x15:c>
        </x15:pivotRow>
        <x15:pivotRow count="2">
          <x15:c>
            <x15:v>1</x15:v>
          </x15:c>
          <x15:c>
            <x15:v>0.97483443708609274</x15:v>
          </x15:c>
        </x15:pivotRow>
        <x15:pivotRow count="2">
          <x15:c>
            <x15:v>1</x15:v>
          </x15:c>
          <x15:c>
            <x15:v>0.94701986754966883</x15:v>
          </x15:c>
        </x15:pivotRow>
        <x15:pivotRow count="2">
          <x15:c>
            <x15:v>1</x15:v>
          </x15:c>
          <x15:c>
            <x15:v>0.92251655629139073</x15:v>
          </x15:c>
        </x15:pivotRow>
        <x15:pivotRow count="2">
          <x15:c>
            <x15:v>1</x15:v>
          </x15:c>
          <x15:c>
            <x15:v>0.87086092715231789</x15:v>
          </x15:c>
        </x15:pivotRow>
        <x15:pivotRow count="2">
          <x15:c>
            <x15:v>156</x15:v>
          </x15:c>
          <x15:c>
            <x15:v>127.21694675797991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Occupancy Mei-Juni 19.xlsx!Table1345">
        <x15:activeTabTopLevelEntity name="[Table1345]"/>
      </x15:pivotTableUISettings>
    </ext>
  </extLst>
</pivotTableDefinition>
</file>

<file path=xl/pivotTables/pivotTable2.xml><?xml version="1.0" encoding="utf-8"?>
<pivotTableDefinition xmlns="http://schemas.openxmlformats.org/spreadsheetml/2006/main" name="PivotChartTable3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1:C157" firstHeaderRow="0" firstDataRow="1" firstDataCol="1"/>
  <pivotFields count="3">
    <pivotField axis="axisRow" allDrilled="1" showAll="0" dataSourceSort="1" defaultAttributeDrillState="1">
      <items count="1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dataField="1" showAll="0"/>
    <pivotField dataField="1" showAll="0"/>
  </pivotFields>
  <rowFields count="1">
    <field x="0"/>
  </rowFields>
  <rowItems count="1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 t="grand">
      <x/>
    </i>
  </rowItems>
  <colFields count="1">
    <field x="-2"/>
  </colFields>
  <colItems count="2">
    <i>
      <x/>
    </i>
    <i i="1">
      <x v="1"/>
    </i>
  </colItems>
  <dataFields count="2">
    <dataField name="Capacity" fld="1" baseField="0" baseItem="0"/>
    <dataField name="Occupancy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2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56" columnCount="2" cacheId="3">
        <x15:pivotRow count="2">
          <x15:c>
            <x15:v>1</x15:v>
          </x15:c>
          <x15:c>
            <x15:v>0.80339805825242716</x15:v>
          </x15:c>
        </x15:pivotRow>
        <x15:pivotRow count="2">
          <x15:c>
            <x15:v>1</x15:v>
          </x15:c>
          <x15:c>
            <x15:v>0.76941747572815533</x15:v>
          </x15:c>
        </x15:pivotRow>
        <x15:pivotRow count="2">
          <x15:c>
            <x15:v>1</x15:v>
          </x15:c>
          <x15:c>
            <x15:v>0.90291262135922334</x15:v>
          </x15:c>
        </x15:pivotRow>
        <x15:pivotRow count="2">
          <x15:c>
            <x15:v>1</x15:v>
          </x15:c>
          <x15:c>
            <x15:v>1.0339805825242718</x15:v>
          </x15:c>
        </x15:pivotRow>
        <x15:pivotRow count="2">
          <x15:c>
            <x15:v>1</x15:v>
          </x15:c>
          <x15:c>
            <x15:v>0.92961165048543692</x15:v>
          </x15:c>
        </x15:pivotRow>
        <x15:pivotRow count="2">
          <x15:c>
            <x15:v>1</x15:v>
          </x15:c>
          <x15:c>
            <x15:v>0.74757281553398058</x15:v>
          </x15:c>
        </x15:pivotRow>
        <x15:pivotRow count="2">
          <x15:c>
            <x15:v>1</x15:v>
          </x15:c>
          <x15:c>
            <x15:v>0.75485436893203883</x15:v>
          </x15:c>
        </x15:pivotRow>
        <x15:pivotRow count="2">
          <x15:c>
            <x15:v>1</x15:v>
          </x15:c>
          <x15:c>
            <x15:v>0.62378640776699024</x15:v>
          </x15:c>
        </x15:pivotRow>
        <x15:pivotRow count="2">
          <x15:c>
            <x15:v>1</x15:v>
          </x15:c>
          <x15:c>
            <x15:v>0.72330097087378642</x15:v>
          </x15:c>
        </x15:pivotRow>
        <x15:pivotRow count="2">
          <x15:c>
            <x15:v>1</x15:v>
          </x15:c>
          <x15:c>
            <x15:v>0.83737864077669899</x15:v>
          </x15:c>
        </x15:pivotRow>
        <x15:pivotRow count="2">
          <x15:c>
            <x15:v>1</x15:v>
          </x15:c>
          <x15:c>
            <x15:v>0.81067961165048541</x15:v>
          </x15:c>
        </x15:pivotRow>
        <x15:pivotRow count="2">
          <x15:c>
            <x15:v>1</x15:v>
          </x15:c>
          <x15:c>
            <x15:v>0.82281553398058249</x15:v>
          </x15:c>
        </x15:pivotRow>
        <x15:pivotRow count="2">
          <x15:c>
            <x15:v>1</x15:v>
          </x15:c>
          <x15:c>
            <x15:v>0.6310679611650486</x15:v>
          </x15:c>
        </x15:pivotRow>
        <x15:pivotRow count="2">
          <x15:c>
            <x15:v>1</x15:v>
          </x15:c>
          <x15:c>
            <x15:v>0.60679611650485432</x15:v>
          </x15:c>
        </x15:pivotRow>
        <x15:pivotRow count="2">
          <x15:c>
            <x15:v>1</x15:v>
          </x15:c>
          <x15:c>
            <x15:v>0.89805825242718451</x15:v>
          </x15:c>
        </x15:pivotRow>
        <x15:pivotRow count="2">
          <x15:c>
            <x15:v>1</x15:v>
          </x15:c>
          <x15:c>
            <x15:v>0.93446601941747576</x15:v>
          </x15:c>
        </x15:pivotRow>
        <x15:pivotRow count="2">
          <x15:c>
            <x15:v>1</x15:v>
          </x15:c>
          <x15:c>
            <x15:v>0.84951456310679607</x15:v>
          </x15:c>
        </x15:pivotRow>
        <x15:pivotRow count="2">
          <x15:c>
            <x15:v>1</x15:v>
          </x15:c>
          <x15:c>
            <x15:v>0.75728155339805825</x15:v>
          </x15:c>
        </x15:pivotRow>
        <x15:pivotRow count="2">
          <x15:c>
            <x15:v>1</x15:v>
          </x15:c>
          <x15:c>
            <x15:v>0.91504854368932043</x15:v>
          </x15:c>
        </x15:pivotRow>
        <x15:pivotRow count="2">
          <x15:c>
            <x15:v>1</x15:v>
          </x15:c>
          <x15:c>
            <x15:v>0.91019417475728159</x15:v>
          </x15:c>
        </x15:pivotRow>
        <x15:pivotRow count="2">
          <x15:c>
            <x15:v>1</x15:v>
          </x15:c>
          <x15:c>
            <x15:v>0.96116504854368934</x15:v>
          </x15:c>
        </x15:pivotRow>
        <x15:pivotRow count="2">
          <x15:c>
            <x15:v>1</x15:v>
          </x15:c>
          <x15:c>
            <x15:v>0.95873786407766992</x15:v>
          </x15:c>
        </x15:pivotRow>
        <x15:pivotRow count="2">
          <x15:c>
            <x15:v>1</x15:v>
          </x15:c>
          <x15:c>
            <x15:v>0.96844660194174759</x15:v>
          </x15:c>
        </x15:pivotRow>
        <x15:pivotRow count="2">
          <x15:c>
            <x15:v>1</x15:v>
          </x15:c>
          <x15:c>
            <x15:v>0.87864077669902918</x15:v>
          </x15:c>
        </x15:pivotRow>
        <x15:pivotRow count="2">
          <x15:c>
            <x15:v>1</x15:v>
          </x15:c>
          <x15:c>
            <x15:v>0.85679611650485432</x15:v>
          </x15:c>
        </x15:pivotRow>
        <x15:pivotRow count="2">
          <x15:c>
            <x15:v>1</x15:v>
          </x15:c>
          <x15:c>
            <x15:v>0.7354368932038835</x15:v>
          </x15:c>
        </x15:pivotRow>
        <x15:pivotRow count="2">
          <x15:c>
            <x15:v>1</x15:v>
          </x15:c>
          <x15:c>
            <x15:v>0.62864077669902918</x15:v>
          </x15:c>
        </x15:pivotRow>
        <x15:pivotRow count="2">
          <x15:c>
            <x15:v>1</x15:v>
          </x15:c>
          <x15:c>
            <x15:v>0.6371308016877637</x15:v>
          </x15:c>
        </x15:pivotRow>
        <x15:pivotRow count="2">
          <x15:c>
            <x15:v>1</x15:v>
          </x15:c>
          <x15:c>
            <x15:v>0.69831223628691985</x15:v>
          </x15:c>
        </x15:pivotRow>
        <x15:pivotRow count="2">
          <x15:c>
            <x15:v>1</x15:v>
          </x15:c>
          <x15:c>
            <x15:v>0.96835443037974689</x15:v>
          </x15:c>
        </x15:pivotRow>
        <x15:pivotRow count="2">
          <x15:c>
            <x15:v>1</x15:v>
          </x15:c>
          <x15:c>
            <x15:v>0.58860759493670889</x15:v>
          </x15:c>
        </x15:pivotRow>
        <x15:pivotRow count="2">
          <x15:c>
            <x15:v>1</x15:v>
          </x15:c>
          <x15:c>
            <x15:v>0.8102466793168881</x15:v>
          </x15:c>
        </x15:pivotRow>
        <x15:pivotRow count="2">
          <x15:c>
            <x15:v>1</x15:v>
          </x15:c>
          <x15:c>
            <x15:v>0.81783681214421255</x15:v>
          </x15:c>
        </x15:pivotRow>
        <x15:pivotRow count="2">
          <x15:c>
            <x15:v>1</x15:v>
          </x15:c>
          <x15:c>
            <x15:v>0.90835030549898166</x15:v>
          </x15:c>
        </x15:pivotRow>
        <x15:pivotRow count="2">
          <x15:c>
            <x15:v>1</x15:v>
          </x15:c>
          <x15:c>
            <x15:v>0.98574338085539714</x15:v>
          </x15:c>
        </x15:pivotRow>
        <x15:pivotRow count="2">
          <x15:c>
            <x15:v>1</x15:v>
          </x15:c>
          <x15:c>
            <x15:v>1.0361904761904761</x15:v>
          </x15:c>
        </x15:pivotRow>
        <x15:pivotRow count="2">
          <x15:c>
            <x15:v>1</x15:v>
          </x15:c>
          <x15:c>
            <x15:v>1.0209523809523811</x15:v>
          </x15:c>
        </x15:pivotRow>
        <x15:pivotRow count="2">
          <x15:c>
            <x15:v>1</x15:v>
          </x15:c>
          <x15:c>
            <x15:v>0.96601073345259392</x15:v>
          </x15:c>
        </x15:pivotRow>
        <x15:pivotRow count="2">
          <x15:c>
            <x15:v>1</x15:v>
          </x15:c>
          <x15:c>
            <x15:v>0.98857142857142855</x15:v>
          </x15:c>
        </x15:pivotRow>
        <x15:pivotRow count="2">
          <x15:c>
            <x15:v>1</x15:v>
          </x15:c>
          <x15:c>
            <x15:v>1.0990476190476191</x15:v>
          </x15:c>
        </x15:pivotRow>
        <x15:pivotRow count="2">
          <x15:c>
            <x15:v>1</x15:v>
          </x15:c>
          <x15:c>
            <x15:v>0.89633173843700165</x15:v>
          </x15:c>
        </x15:pivotRow>
        <x15:pivotRow count="2">
          <x15:c>
            <x15:v>1</x15:v>
          </x15:c>
          <x15:c>
            <x15:v>0.79248658318425758</x15:v>
          </x15:c>
        </x15:pivotRow>
        <x15:pivotRow count="2">
          <x15:c>
            <x15:v>1</x15:v>
          </x15:c>
          <x15:c>
            <x15:v>0.78890876565295165</x15:v>
          </x15:c>
        </x15:pivotRow>
        <x15:pivotRow count="2">
          <x15:c>
            <x15:v>1</x15:v>
          </x15:c>
          <x15:c>
            <x15:v>0.75706214689265539</x15:v>
          </x15:c>
        </x15:pivotRow>
        <x15:pivotRow count="2">
          <x15:c>
            <x15:v>1</x15:v>
          </x15:c>
          <x15:c>
            <x15:v>0.72881355932203384</x15:v>
          </x15:c>
        </x15:pivotRow>
        <x15:pivotRow count="2">
          <x15:c>
            <x15:v>1</x15:v>
          </x15:c>
          <x15:c>
            <x15:v>0.80790960451977401</x15:v>
          </x15:c>
        </x15:pivotRow>
        <x15:pivotRow count="2">
          <x15:c>
            <x15:v>1</x15:v>
          </x15:c>
          <x15:c>
            <x15:v>0.8192090395480226</x15:v>
          </x15:c>
        </x15:pivotRow>
        <x15:pivotRow count="2">
          <x15:c>
            <x15:v>1</x15:v>
          </x15:c>
          <x15:c>
            <x15:v>0.66846846846846841</x15:v>
          </x15:c>
        </x15:pivotRow>
        <x15:pivotRow count="2">
          <x15:c>
            <x15:v>1</x15:v>
          </x15:c>
          <x15:c>
            <x15:v>0.59639639639639641</x15:v>
          </x15:c>
        </x15:pivotRow>
        <x15:pivotRow count="2">
          <x15:c>
            <x15:v>1</x15:v>
          </x15:c>
          <x15:c>
            <x15:v>0.60540540540540544</x15:v>
          </x15:c>
        </x15:pivotRow>
        <x15:pivotRow count="2">
          <x15:c>
            <x15:v>1</x15:v>
          </x15:c>
          <x15:c>
            <x15:v>0.58198198198198203</x15:v>
          </x15:c>
        </x15:pivotRow>
        <x15:pivotRow count="2">
          <x15:c>
            <x15:v>1</x15:v>
          </x15:c>
          <x15:c>
            <x15:v>0.63963963963963966</x15:v>
          </x15:c>
        </x15:pivotRow>
        <x15:pivotRow count="2">
          <x15:c>
            <x15:v>1</x15:v>
          </x15:c>
          <x15:c>
            <x15:v>0.5855855855855856</x15:v>
          </x15:c>
        </x15:pivotRow>
        <x15:pivotRow count="2">
          <x15:c>
            <x15:v>1</x15:v>
          </x15:c>
          <x15:c>
            <x15:v>0.50450450450450446</x15:v>
          </x15:c>
        </x15:pivotRow>
        <x15:pivotRow count="2">
          <x15:c>
            <x15:v>1</x15:v>
          </x15:c>
          <x15:c>
            <x15:v>0.52022058823529416</x15:v>
          </x15:c>
        </x15:pivotRow>
        <x15:pivotRow count="2">
          <x15:c>
            <x15:v>1</x15:v>
          </x15:c>
          <x15:c>
            <x15:v>0.4577205882352941</x15:v>
          </x15:c>
        </x15:pivotRow>
        <x15:pivotRow count="2">
          <x15:c>
            <x15:v>1</x15:v>
          </x15:c>
          <x15:c>
            <x15:v>0.45220588235294118</x15:v>
          </x15:c>
        </x15:pivotRow>
        <x15:pivotRow count="2">
          <x15:c>
            <x15:v>1</x15:v>
          </x15:c>
          <x15:c>
            <x15:v>0.61213235294117652</x15:v>
          </x15:c>
        </x15:pivotRow>
        <x15:pivotRow count="2">
          <x15:c>
            <x15:v>1</x15:v>
          </x15:c>
          <x15:c>
            <x15:v>0.57904411764705888</x15:v>
          </x15:c>
        </x15:pivotRow>
        <x15:pivotRow count="2">
          <x15:c>
            <x15:v>1</x15:v>
          </x15:c>
          <x15:c>
            <x15:v>0.51470588235294112</x15:v>
          </x15:c>
        </x15:pivotRow>
        <x15:pivotRow count="2">
          <x15:c>
            <x15:v>1</x15:v>
          </x15:c>
          <x15:c>
            <x15:v>0.47058823529411764</x15:v>
          </x15:c>
        </x15:pivotRow>
        <x15:pivotRow count="2">
          <x15:c>
            <x15:v>1</x15:v>
          </x15:c>
          <x15:c>
            <x15:v>0.56985294117647056</x15:v>
          </x15:c>
        </x15:pivotRow>
        <x15:pivotRow count="2">
          <x15:c>
            <x15:v>1</x15:v>
          </x15:c>
          <x15:c>
            <x15:v>0.54411764705882348</x15:v>
          </x15:c>
        </x15:pivotRow>
        <x15:pivotRow count="2">
          <x15:c>
            <x15:v>1</x15:v>
          </x15:c>
          <x15:c>
            <x15:v>0.49632352941176472</x15:v>
          </x15:c>
        </x15:pivotRow>
        <x15:pivotRow count="2">
          <x15:c>
            <x15:v>1</x15:v>
          </x15:c>
          <x15:c>
            <x15:v>0.58088235294117652</x15:v>
          </x15:c>
        </x15:pivotRow>
        <x15:pivotRow count="2">
          <x15:c>
            <x15:v>1</x15:v>
          </x15:c>
          <x15:c>
            <x15:v>0.5533088235294118</x15:v>
          </x15:c>
        </x15:pivotRow>
        <x15:pivotRow count="2">
          <x15:c>
            <x15:v>1</x15:v>
          </x15:c>
          <x15:c>
            <x15:v>0.7095588235294118</x15:v>
          </x15:c>
        </x15:pivotRow>
        <x15:pivotRow count="2">
          <x15:c>
            <x15:v>1</x15:v>
          </x15:c>
          <x15:c>
            <x15:v>0.81066176470588236</x15:v>
          </x15:c>
        </x15:pivotRow>
        <x15:pivotRow count="2">
          <x15:c>
            <x15:v>1</x15:v>
          </x15:c>
          <x15:c>
            <x15:v>0.72058823529411764</x15:v>
          </x15:c>
        </x15:pivotRow>
        <x15:pivotRow count="2">
          <x15:c>
            <x15:v>1</x15:v>
          </x15:c>
          <x15:c>
            <x15:v>0.6783088235294118</x15:v>
          </x15:c>
        </x15:pivotRow>
        <x15:pivotRow count="2">
          <x15:c>
            <x15:v>1</x15:v>
          </x15:c>
          <x15:c>
            <x15:v>0.81433823529411764</x15:v>
          </x15:c>
        </x15:pivotRow>
        <x15:pivotRow count="2">
          <x15:c>
            <x15:v>1</x15:v>
          </x15:c>
          <x15:c>
            <x15:v>0.73345588235294112</x15:v>
          </x15:c>
        </x15:pivotRow>
        <x15:pivotRow count="2">
          <x15:c>
            <x15:v>1</x15:v>
          </x15:c>
          <x15:c>
            <x15:v>0.67463235294117652</x15:v>
          </x15:c>
        </x15:pivotRow>
        <x15:pivotRow count="2">
          <x15:c>
            <x15:v>1</x15:v>
          </x15:c>
          <x15:c>
            <x15:v>0.54411764705882348</x15:v>
          </x15:c>
        </x15:pivotRow>
        <x15:pivotRow count="2">
          <x15:c>
            <x15:v>1</x15:v>
          </x15:c>
          <x15:c>
            <x15:v>0.63235294117647056</x15:v>
          </x15:c>
        </x15:pivotRow>
        <x15:pivotRow count="2">
          <x15:c>
            <x15:v>1</x15:v>
          </x15:c>
          <x15:c>
            <x15:v>0.61764705882352944</x15:v>
          </x15:c>
        </x15:pivotRow>
        <x15:pivotRow count="2">
          <x15:c>
            <x15:v>1</x15:v>
          </x15:c>
          <x15:c>
            <x15:v>0.5404411764705882</x15:v>
          </x15:c>
        </x15:pivotRow>
        <x15:pivotRow count="2">
          <x15:c>
            <x15:v>1</x15:v>
          </x15:c>
          <x15:c>
            <x15:v>0.35110294117647056</x15:v>
          </x15:c>
        </x15:pivotRow>
        <x15:pivotRow count="2">
          <x15:c>
            <x15:v>1</x15:v>
          </x15:c>
          <x15:c>
            <x15:v>0.36948529411764708</x15:v>
          </x15:c>
        </x15:pivotRow>
        <x15:pivotRow count="2">
          <x15:c>
            <x15:v>1</x15:v>
          </x15:c>
          <x15:c>
            <x15:v>0.56985294117647056</x15:v>
          </x15:c>
        </x15:pivotRow>
        <x15:pivotRow count="2">
          <x15:c>
            <x15:v>1</x15:v>
          </x15:c>
          <x15:c>
            <x15:v>0.82904411764705888</x15:v>
          </x15:c>
        </x15:pivotRow>
        <x15:pivotRow count="2">
          <x15:c>
            <x15:v>1</x15:v>
          </x15:c>
          <x15:c>
            <x15:v>0.58639705882352944</x15:v>
          </x15:c>
        </x15:pivotRow>
        <x15:pivotRow count="2">
          <x15:c>
            <x15:v>1</x15:v>
          </x15:c>
          <x15:c>
            <x15:v>0.77573529411764708</x15:v>
          </x15:c>
        </x15:pivotRow>
        <x15:pivotRow count="2">
          <x15:c>
            <x15:v>1</x15:v>
          </x15:c>
          <x15:c>
            <x15:v>0.49448529411764708</x15:v>
          </x15:c>
        </x15:pivotRow>
        <x15:pivotRow count="2">
          <x15:c>
            <x15:v>1</x15:v>
          </x15:c>
          <x15:c>
            <x15:v>0.58272058823529416</x15:v>
          </x15:c>
        </x15:pivotRow>
        <x15:pivotRow count="2">
          <x15:c>
            <x15:v>1</x15:v>
          </x15:c>
          <x15:c>
            <x15:v>0.67279411764705888</x15:v>
          </x15:c>
        </x15:pivotRow>
        <x15:pivotRow count="2">
          <x15:c>
            <x15:v>1</x15:v>
          </x15:c>
          <x15:c>
            <x15:v>0.59007352941176472</x15:v>
          </x15:c>
        </x15:pivotRow>
        <x15:pivotRow count="2">
          <x15:c>
            <x15:v>1</x15:v>
          </x15:c>
          <x15:c>
            <x15:v>0.62132352941176472</x15:v>
          </x15:c>
        </x15:pivotRow>
        <x15:pivotRow count="2">
          <x15:c>
            <x15:v>1</x15:v>
          </x15:c>
          <x15:c>
            <x15:v>0.58272058823529416</x15:v>
          </x15:c>
        </x15:pivotRow>
        <x15:pivotRow count="2">
          <x15:c>
            <x15:v>1</x15:v>
          </x15:c>
          <x15:c>
            <x15:v>0.55147058823529416</x15:v>
          </x15:c>
        </x15:pivotRow>
        <x15:pivotRow count="2">
          <x15:c>
            <x15:v>1</x15:v>
          </x15:c>
          <x15:c>
            <x15:v>0.54779411764705888</x15:v>
          </x15:c>
        </x15:pivotRow>
        <x15:pivotRow count="2">
          <x15:c>
            <x15:v>1</x15:v>
          </x15:c>
          <x15:c>
            <x15:v>0.48713235294117646</x15:v>
          </x15:c>
        </x15:pivotRow>
        <x15:pivotRow count="2">
          <x15:c>
            <x15:v>1</x15:v>
          </x15:c>
          <x15:c>
            <x15:v>0.54595588235294112</x15:v>
          </x15:c>
        </x15:pivotRow>
        <x15:pivotRow count="2">
          <x15:c>
            <x15:v>1</x15:v>
          </x15:c>
          <x15:c>
            <x15:v>0.59375</x15:v>
          </x15:c>
        </x15:pivotRow>
        <x15:pivotRow count="2">
          <x15:c>
            <x15:v>1</x15:v>
          </x15:c>
          <x15:c>
            <x15:v>0.42279411764705882</x15:v>
          </x15:c>
        </x15:pivotRow>
        <x15:pivotRow count="2">
          <x15:c>
            <x15:v>1</x15:v>
          </x15:c>
          <x15:c>
            <x15:v>0.72426470588235292</x15:v>
          </x15:c>
        </x15:pivotRow>
        <x15:pivotRow count="2">
          <x15:c>
            <x15:v>1</x15:v>
          </x15:c>
          <x15:c>
            <x15:v>0.55882352941176472</x15:v>
          </x15:c>
        </x15:pivotRow>
        <x15:pivotRow count="2">
          <x15:c>
            <x15:v>1</x15:v>
          </x15:c>
          <x15:c>
            <x15:v>0.32169117647058826</x15:v>
          </x15:c>
        </x15:pivotRow>
        <x15:pivotRow count="2">
          <x15:c>
            <x15:v>1</x15:v>
          </x15:c>
          <x15:c>
            <x15:v>0.31433823529411764</x15:v>
          </x15:c>
        </x15:pivotRow>
        <x15:pivotRow count="2">
          <x15:c>
            <x15:v>1</x15:v>
          </x15:c>
          <x15:c>
            <x15:v>0.49264705882352944</x15:v>
          </x15:c>
        </x15:pivotRow>
        <x15:pivotRow count="2">
          <x15:c>
            <x15:v>1</x15:v>
          </x15:c>
          <x15:c>
            <x15:v>0.60110294117647056</x15:v>
          </x15:c>
        </x15:pivotRow>
        <x15:pivotRow count="2">
          <x15:c>
            <x15:v>1</x15:v>
          </x15:c>
          <x15:c>
            <x15:v>0.29595588235294118</x15:v>
          </x15:c>
        </x15:pivotRow>
        <x15:pivotRow count="2">
          <x15:c>
            <x15:v>1</x15:v>
          </x15:c>
          <x15:c>
            <x15:v>0.25367647058823528</x15:v>
          </x15:c>
        </x15:pivotRow>
        <x15:pivotRow count="2">
          <x15:c>
            <x15:v>1</x15:v>
          </x15:c>
          <x15:c>
            <x15:v>0.5</x15:v>
          </x15:c>
        </x15:pivotRow>
        <x15:pivotRow count="2">
          <x15:c>
            <x15:v>1</x15:v>
          </x15:c>
          <x15:c>
            <x15:v>0.49080882352941174</x15:v>
          </x15:c>
        </x15:pivotRow>
        <x15:pivotRow count="2">
          <x15:c>
            <x15:v>1</x15:v>
          </x15:c>
          <x15:c>
            <x15:v>0.31617647058823528</x15:v>
          </x15:c>
        </x15:pivotRow>
        <x15:pivotRow count="2">
          <x15:c>
            <x15:v>1</x15:v>
          </x15:c>
          <x15:c>
            <x15:v>0.35110294117647056</x15:v>
          </x15:c>
        </x15:pivotRow>
        <x15:pivotRow count="2">
          <x15:c>
            <x15:v>1</x15:v>
          </x15:c>
          <x15:c>
            <x15:v>0.36580882352941174</x15:v>
          </x15:c>
        </x15:pivotRow>
        <x15:pivotRow count="2">
          <x15:c>
            <x15:v>1</x15:v>
          </x15:c>
          <x15:c>
            <x15:v>0.28676470588235292</x15:v>
          </x15:c>
        </x15:pivotRow>
        <x15:pivotRow count="2">
          <x15:c>
            <x15:v>1</x15:v>
          </x15:c>
          <x15:c>
            <x15:v>0.31433823529411764</x15:v>
          </x15:c>
        </x15:pivotRow>
        <x15:pivotRow count="2">
          <x15:c>
            <x15:v>1</x15:v>
          </x15:c>
          <x15:c>
            <x15:v>0.35661764705882354</x15:v>
          </x15:c>
        </x15:pivotRow>
        <x15:pivotRow count="2">
          <x15:c>
            <x15:v>1</x15:v>
          </x15:c>
          <x15:c>
            <x15:v>0.38419117647058826</x15:v>
          </x15:c>
        </x15:pivotRow>
        <x15:pivotRow count="2">
          <x15:c>
            <x15:v>1</x15:v>
          </x15:c>
          <x15:c>
            <x15:v>0.36948529411764708</x15:v>
          </x15:c>
        </x15:pivotRow>
        <x15:pivotRow count="2">
          <x15:c>
            <x15:v>1</x15:v>
          </x15:c>
          <x15:c>
            <x15:v>0.34558823529411764</x15:v>
          </x15:c>
        </x15:pivotRow>
        <x15:pivotRow count="2">
          <x15:c>
            <x15:v>1</x15:v>
          </x15:c>
          <x15:c>
            <x15:v>0.27389705882352944</x15:v>
          </x15:c>
        </x15:pivotRow>
        <x15:pivotRow count="2">
          <x15:c>
            <x15:v>1</x15:v>
          </x15:c>
          <x15:c>
            <x15:v>0.47794117647058826</x15:v>
          </x15:c>
        </x15:pivotRow>
        <x15:pivotRow count="2">
          <x15:c>
            <x15:v>1</x15:v>
          </x15:c>
          <x15:c>
            <x15:v>0.44117647058823528</x15:v>
          </x15:c>
        </x15:pivotRow>
        <x15:pivotRow count="2">
          <x15:c>
            <x15:v>1</x15:v>
          </x15:c>
          <x15:c>
            <x15:v>0.56433823529411764</x15:v>
          </x15:c>
        </x15:pivotRow>
        <x15:pivotRow count="2">
          <x15:c>
            <x15:v>1</x15:v>
          </x15:c>
          <x15:c>
            <x15:v>0.57904411764705888</x15:v>
          </x15:c>
        </x15:pivotRow>
        <x15:pivotRow count="2">
          <x15:c>
            <x15:v>1</x15:v>
          </x15:c>
          <x15:c>
            <x15:v>0.48713235294117646</x15:v>
          </x15:c>
        </x15:pivotRow>
        <x15:pivotRow count="2">
          <x15:c>
            <x15:v>1</x15:v>
          </x15:c>
          <x15:c>
            <x15:v>0.29963235294117646</x15:v>
          </x15:c>
        </x15:pivotRow>
        <x15:pivotRow count="2">
          <x15:c>
            <x15:v>1</x15:v>
          </x15:c>
          <x15:c>
            <x15:v>0.29044117647058826</x15:v>
          </x15:c>
        </x15:pivotRow>
        <x15:pivotRow count="2">
          <x15:c>
            <x15:v>1</x15:v>
          </x15:c>
          <x15:c>
            <x15:v>0.37132352941176472</x15:v>
          </x15:c>
        </x15:pivotRow>
        <x15:pivotRow count="2">
          <x15:c>
            <x15:v>1</x15:v>
          </x15:c>
          <x15:c>
            <x15:v>0.44669117647058826</x15:v>
          </x15:c>
        </x15:pivotRow>
        <x15:pivotRow count="2">
          <x15:c>
            <x15:v>1</x15:v>
          </x15:c>
          <x15:c>
            <x15:v>0.29044117647058826</x15:v>
          </x15:c>
        </x15:pivotRow>
        <x15:pivotRow count="2">
          <x15:c>
            <x15:v>1</x15:v>
          </x15:c>
          <x15:c>
            <x15:v>0.55701754385964908</x15:v>
          </x15:c>
        </x15:pivotRow>
        <x15:pivotRow count="2">
          <x15:c>
            <x15:v>1</x15:v>
          </x15:c>
          <x15:c>
            <x15:v>0.48245614035087719</x15:v>
          </x15:c>
        </x15:pivotRow>
        <x15:pivotRow count="2">
          <x15:c>
            <x15:v>1</x15:v>
          </x15:c>
          <x15:c>
            <x15:v>0.48245614035087719</x15:v>
          </x15:c>
        </x15:pivotRow>
        <x15:pivotRow count="2">
          <x15:c>
            <x15:v>1</x15:v>
          </x15:c>
          <x15:c>
            <x15:v>0.47587719298245612</x15:v>
          </x15:c>
        </x15:pivotRow>
        <x15:pivotRow count="2">
          <x15:c>
            <x15:v>1</x15:v>
          </x15:c>
          <x15:c>
            <x15:v>0.33333333333333331</x15:v>
          </x15:c>
        </x15:pivotRow>
        <x15:pivotRow count="2">
          <x15:c>
            <x15:v>1</x15:v>
          </x15:c>
          <x15:c>
            <x15:v>0.38157894736842107</x15:v>
          </x15:c>
        </x15:pivotRow>
        <x15:pivotRow count="2">
          <x15:c>
            <x15:v>1</x15:v>
          </x15:c>
          <x15:c>
            <x15:v>0.44956140350877194</x15:v>
          </x15:c>
        </x15:pivotRow>
        <x15:pivotRow count="2">
          <x15:c>
            <x15:v>1</x15:v>
          </x15:c>
          <x15:c>
            <x15:v>0.47368421052631576</x15:v>
          </x15:c>
        </x15:pivotRow>
        <x15:pivotRow count="2">
          <x15:c>
            <x15:v>1</x15:v>
          </x15:c>
          <x15:c>
            <x15:v>0.375</x15:v>
          </x15:c>
        </x15:pivotRow>
        <x15:pivotRow count="2">
          <x15:c>
            <x15:v>1</x15:v>
          </x15:c>
          <x15:c>
            <x15:v>0.47807017543859648</x15:v>
          </x15:c>
        </x15:pivotRow>
        <x15:pivotRow count="2">
          <x15:c>
            <x15:v>1</x15:v>
          </x15:c>
          <x15:c>
            <x15:v>0.35526315789473684</x15:v>
          </x15:c>
        </x15:pivotRow>
        <x15:pivotRow count="2">
          <x15:c>
            <x15:v>1</x15:v>
          </x15:c>
          <x15:c>
            <x15:v>0.36403508771929827</x15:v>
          </x15:c>
        </x15:pivotRow>
        <x15:pivotRow count="2">
          <x15:c>
            <x15:v>1</x15:v>
          </x15:c>
          <x15:c>
            <x15:v>0.34868421052631576</x15:v>
          </x15:c>
        </x15:pivotRow>
        <x15:pivotRow count="2">
          <x15:c>
            <x15:v>1</x15:v>
          </x15:c>
          <x15:c>
            <x15:v>0.27850877192982454</x15:v>
          </x15:c>
        </x15:pivotRow>
        <x15:pivotRow count="2">
          <x15:c>
            <x15:v>1</x15:v>
          </x15:c>
          <x15:c>
            <x15:v>0.40350877192982454</x15:v>
          </x15:c>
        </x15:pivotRow>
        <x15:pivotRow count="2">
          <x15:c>
            <x15:v>1</x15:v>
          </x15:c>
          <x15:c>
            <x15:v>0.40789473684210525</x15:v>
          </x15:c>
        </x15:pivotRow>
        <x15:pivotRow count="2">
          <x15:c>
            <x15:v>1</x15:v>
          </x15:c>
          <x15:c>
            <x15:v>0.43640350877192985</x15:v>
          </x15:c>
        </x15:pivotRow>
        <x15:pivotRow count="2">
          <x15:c>
            <x15:v>1</x15:v>
          </x15:c>
          <x15:c>
            <x15:v>0.4692982456140351</x15:v>
          </x15:c>
        </x15:pivotRow>
        <x15:pivotRow count="2">
          <x15:c>
            <x15:v>1</x15:v>
          </x15:c>
          <x15:c>
            <x15:v>0.44736842105263158</x15:v>
          </x15:c>
        </x15:pivotRow>
        <x15:pivotRow count="2">
          <x15:c>
            <x15:v>1</x15:v>
          </x15:c>
          <x15:c>
            <x15:v>0.50657894736842102</x15:v>
          </x15:c>
        </x15:pivotRow>
        <x15:pivotRow count="2">
          <x15:c>
            <x15:v>1</x15:v>
          </x15:c>
          <x15:c>
            <x15:v>0.57675438596491224</x15:v>
          </x15:c>
        </x15:pivotRow>
        <x15:pivotRow count="2">
          <x15:c>
            <x15:v>1</x15:v>
          </x15:c>
          <x15:c>
            <x15:v>0.47807017543859648</x15:v>
          </x15:c>
        </x15:pivotRow>
        <x15:pivotRow count="2">
          <x15:c>
            <x15:v>1</x15:v>
          </x15:c>
          <x15:c>
            <x15:v>0.58552631578947367</x15:v>
          </x15:c>
        </x15:pivotRow>
        <x15:pivotRow count="2">
          <x15:c>
            <x15:v>1</x15:v>
          </x15:c>
          <x15:c>
            <x15:v>0.49561403508771928</x15:v>
          </x15:c>
        </x15:pivotRow>
        <x15:pivotRow count="2">
          <x15:c>
            <x15:v>1</x15:v>
          </x15:c>
          <x15:c>
            <x15:v>0.81359649122807021</x15:v>
          </x15:c>
        </x15:pivotRow>
        <x15:pivotRow count="2">
          <x15:c>
            <x15:v>1</x15:v>
          </x15:c>
          <x15:c>
            <x15:v>0.82017543859649122</x15:v>
          </x15:c>
        </x15:pivotRow>
        <x15:pivotRow count="2">
          <x15:c>
            <x15:v>1</x15:v>
          </x15:c>
          <x15:c>
            <x15:v>0.82894736842105265</x15:v>
          </x15:c>
        </x15:pivotRow>
        <x15:pivotRow count="2">
          <x15:c>
            <x15:v>1</x15:v>
          </x15:c>
          <x15:c>
            <x15:v>0.82017543859649122</x15:v>
          </x15:c>
        </x15:pivotRow>
        <x15:pivotRow count="2">
          <x15:c>
            <x15:v>1</x15:v>
          </x15:c>
          <x15:c>
            <x15:v>0.76315789473684215</x15:v>
          </x15:c>
        </x15:pivotRow>
        <x15:pivotRow count="2">
          <x15:c>
            <x15:v>1</x15:v>
          </x15:c>
          <x15:c>
            <x15:v>0.63596491228070173</x15:v>
          </x15:c>
        </x15:pivotRow>
        <x15:pivotRow count="2">
          <x15:c>
            <x15:v>155</x15:v>
          </x15:c>
          <x15:c>
            <x15:v>95.039899114133277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Occupancy Mei-Juni 19.xlsx!Table7">
        <x15:activeTabTopLevelEntity name="[Table7]"/>
      </x15:pivotTableUISettings>
    </ext>
  </extLst>
</pivotTableDefinition>
</file>

<file path=xl/pivotTables/pivotTable3.xml><?xml version="1.0" encoding="utf-8"?>
<pivotTableDefinition xmlns="http://schemas.openxmlformats.org/spreadsheetml/2006/main" name="PivotChartTable2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1:B156" firstHeaderRow="1" firstDataRow="1" firstDataCol="1"/>
  <pivotFields count="2">
    <pivotField axis="axisRow" allDrilled="1" showAll="0" dataSourceSort="1" defaultAttributeDrillState="1">
      <items count="1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dataField="1" showAll="0"/>
  </pivotFields>
  <rowFields count="1">
    <field x="0"/>
  </rowFields>
  <rowItems count="1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 t="grand">
      <x/>
    </i>
  </rowItems>
  <colItems count="1">
    <i/>
  </colItems>
  <dataFields count="1">
    <dataField name="Occupancy" fld="1" baseField="0" baseItem="2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55" columnCount="1" cacheId="2">
        <x15:pivotRow count="1">
          <x15:c>
            <x15:v>0.9</x15:v>
          </x15:c>
        </x15:pivotRow>
        <x15:pivotRow count="1">
          <x15:c>
            <x15:v>0.8294117647058824</x15:v>
          </x15:c>
        </x15:pivotRow>
        <x15:pivotRow count="1">
          <x15:c>
            <x15:v>0.6705882352941176</x15:v>
          </x15:c>
        </x15:pivotRow>
        <x15:pivotRow count="1">
          <x15:c>
            <x15:v>0.55294117647058827</x15:v>
          </x15:c>
        </x15:pivotRow>
        <x15:pivotRow count="1">
          <x15:c>
            <x15:v>0.67647058823529416</x15:v>
          </x15:c>
        </x15:pivotRow>
        <x15:pivotRow count="1">
          <x15:c>
            <x15:v>0.95882352941176474</x15:v>
          </x15:c>
        </x15:pivotRow>
        <x15:pivotRow count="1">
          <x15:c>
            <x15:v>0.85882352941176465</x15:v>
          </x15:c>
        </x15:pivotRow>
        <x15:pivotRow count="1">
          <x15:c>
            <x15:v>0.77058823529411768</x15:v>
          </x15:c>
        </x15:pivotRow>
        <x15:pivotRow count="1">
          <x15:c>
            <x15:v>0.75882352941176467</x15:v>
          </x15:c>
        </x15:pivotRow>
        <x15:pivotRow count="1">
          <x15:c>
            <x15:v>1.0764705882352941</x15:v>
          </x15:c>
        </x15:pivotRow>
        <x15:pivotRow count="1">
          <x15:c>
            <x15:v>0.81764705882352939</x15:v>
          </x15:c>
        </x15:pivotRow>
        <x15:pivotRow count="1">
          <x15:c>
            <x15:v>0.85882352941176465</x15:v>
          </x15:c>
        </x15:pivotRow>
        <x15:pivotRow count="1">
          <x15:c>
            <x15:v>0.75294117647058822</x15:v>
          </x15:c>
        </x15:pivotRow>
        <x15:pivotRow count="1">
          <x15:c>
            <x15:v>0.77058823529411768</x15:v>
          </x15:c>
        </x15:pivotRow>
        <x15:pivotRow count="1">
          <x15:c>
            <x15:v>0.75588235294117645</x15:v>
          </x15:c>
        </x15:pivotRow>
        <x15:pivotRow count="1">
          <x15:c>
            <x15:v>0.8</x15:v>
          </x15:c>
        </x15:pivotRow>
        <x15:pivotRow count="1">
          <x15:c>
            <x15:v>0.60882352941176465</x15:v>
          </x15:c>
        </x15:pivotRow>
        <x15:pivotRow count="1">
          <x15:c>
            <x15:v>0.49705882352941178</x15:v>
          </x15:c>
        </x15:pivotRow>
        <x15:pivotRow count="1">
          <x15:c>
            <x15:v>0.58235294117647063</x15:v>
          </x15:c>
        </x15:pivotRow>
        <x15:pivotRow count="1">
          <x15:c>
            <x15:v>0.64117647058823535</x15:v>
          </x15:c>
        </x15:pivotRow>
        <x15:pivotRow count="1">
          <x15:c>
            <x15:v>0.64117647058823535</x15:v>
          </x15:c>
        </x15:pivotRow>
        <x15:pivotRow count="1">
          <x15:c>
            <x15:v>0.69705882352941173</x15:v>
          </x15:c>
        </x15:pivotRow>
        <x15:pivotRow count="1">
          <x15:c>
            <x15:v>0.69705882352941173</x15:v>
          </x15:c>
        </x15:pivotRow>
        <x15:pivotRow count="1">
          <x15:c>
            <x15:v>0.72058823529411764</x15:v>
          </x15:c>
        </x15:pivotRow>
        <x15:pivotRow count="1">
          <x15:c>
            <x15:v>0.72058823529411764</x15:v>
          </x15:c>
        </x15:pivotRow>
        <x15:pivotRow count="1">
          <x15:c>
            <x15:v>0.7382352941176471</x15:v>
          </x15:c>
        </x15:pivotRow>
        <x15:pivotRow count="1">
          <x15:c>
            <x15:v>0.71176470588235297</x15:v>
          </x15:c>
        </x15:pivotRow>
        <x15:pivotRow count="1">
          <x15:c>
            <x15:v>0.83823529411764708</x15:v>
          </x15:c>
        </x15:pivotRow>
        <x15:pivotRow count="1">
          <x15:c>
            <x15:v>0.69705882352941173</x15:v>
          </x15:c>
        </x15:pivotRow>
        <x15:pivotRow count="1">
          <x15:c>
            <x15:v>0.68529411764705883</x15:v>
          </x15:c>
        </x15:pivotRow>
        <x15:pivotRow count="1">
          <x15:c>
            <x15:v>0.8529411764705882</x15:v>
          </x15:c>
        </x15:pivotRow>
        <x15:pivotRow count="1">
          <x15:c>
            <x15:v>1.0823529411764705</x15:v>
          </x15:c>
        </x15:pivotRow>
        <x15:pivotRow count="1">
          <x15:c>
            <x15:v>1.0117647058823529</x15:v>
          </x15:c>
        </x15:pivotRow>
        <x15:pivotRow count="1">
          <x15:c>
            <x15:v>0.96808510638297873</x15:v>
          </x15:c>
        </x15:pivotRow>
        <x15:pivotRow count="1">
          <x15:c>
            <x15:v>0.7978723404255319</x15:v>
          </x15:c>
        </x15:pivotRow>
        <x15:pivotRow count="1">
          <x15:c>
            <x15:v>1.9574468085106385</x15:v>
          </x15:c>
        </x15:pivotRow>
        <x15:pivotRow count="1">
          <x15:c>
            <x15:v>1.2367021276595744</x15:v>
          </x15:c>
        </x15:pivotRow>
        <x15:pivotRow count="1">
          <x15:c>
            <x15:v>1.2107843137254901</x15:v>
          </x15:c>
        </x15:pivotRow>
        <x15:pivotRow count="1">
          <x15:c>
            <x15:v>1.1691176470588236</x15:v>
          </x15:c>
        </x15:pivotRow>
        <x15:pivotRow count="1">
          <x15:c>
            <x15:v>1.2303921568627452</x15:v>
          </x15:c>
        </x15:pivotRow>
        <x15:pivotRow count="1">
          <x15:c>
            <x15:v>1.0399159663865547</x15:v>
          </x15:c>
        </x15:pivotRow>
        <x15:pivotRow count="1">
          <x15:c>
            <x15:v>1.134453781512605</x15:v>
          </x15:c>
        </x15:pivotRow>
        <x15:pivotRow count="1">
          <x15:c>
            <x15:v>0.99661016949152548</x15:v>
          </x15:c>
        </x15:pivotRow>
        <x15:pivotRow count="1">
          <x15:c>
            <x15:v>1.0016949152542374</x15:v>
          </x15:c>
        </x15:pivotRow>
        <x15:pivotRow count="1">
          <x15:c>
            <x15:v>1.0186440677966102</x15:v>
          </x15:c>
        </x15:pivotRow>
        <x15:pivotRow count="1">
          <x15:c>
            <x15:v>0.97118644067796611</x15:v>
          </x15:c>
        </x15:pivotRow>
        <x15:pivotRow count="1">
          <x15:c>
            <x15:v>1.0135593220338983</x15:v>
          </x15:c>
        </x15:pivotRow>
        <x15:pivotRow count="1">
          <x15:c>
            <x15:v>0.94915254237288138</x15:v>
          </x15:c>
        </x15:pivotRow>
        <x15:pivotRow count="1">
          <x15:c>
            <x15:v>0.87055016181229772</x15:v>
          </x15:c>
        </x15:pivotRow>
        <x15:pivotRow count="1">
          <x15:c>
            <x15:v>0.90129449838187703</x15:v>
          </x15:c>
        </x15:pivotRow>
        <x15:pivotRow count="1">
          <x15:c>
            <x15:v>0.93365695792880254</x15:v>
          </x15:c>
        </x15:pivotRow>
        <x15:pivotRow count="1">
          <x15:c>
            <x15:v>0.97411003236245952</x15:v>
          </x15:c>
        </x15:pivotRow>
        <x15:pivotRow count="1">
          <x15:c>
            <x15:v>0.92880258899676371</x15:v>
          </x15:c>
        </x15:pivotRow>
        <x15:pivotRow count="1">
          <x15:c>
            <x15:v>0.76923076923076927</x15:v>
          </x15:c>
        </x15:pivotRow>
        <x15:pivotRow count="1">
          <x15:c>
            <x15:v>0.78144078144078144</x15:v>
          </x15:c>
        </x15:pivotRow>
        <x15:pivotRow count="1">
          <x15:c>
            <x15:v>0.88522588522588519</x15:v>
          </x15:c>
        </x15:pivotRow>
        <x15:pivotRow count="1">
          <x15:c>
            <x15:v>0.81562881562881562</x15:v>
          </x15:c>
        </x15:pivotRow>
        <x15:pivotRow count="1">
          <x15:c>
            <x15:v>0.89499389499389503</x15:v>
          </x15:c>
        </x15:pivotRow>
        <x15:pivotRow count="1">
          <x15:c>
            <x15:v>0.86691086691086694</x15:v>
          </x15:c>
        </x15:pivotRow>
        <x15:pivotRow count="1">
          <x15:c>
            <x15:v>0.83028083028083033</x15:v>
          </x15:c>
        </x15:pivotRow>
        <x15:pivotRow count="1">
          <x15:c>
            <x15:v>0.89743589743589747</x15:v>
          </x15:c>
        </x15:pivotRow>
        <x15:pivotRow count="1">
          <x15:c>
            <x15:v>1.0647130647130647</x15:v>
          </x15:c>
        </x15:pivotRow>
        <x15:pivotRow count="1">
          <x15:c>
            <x15:v>0.83716075156576197</x15:v>
          </x15:c>
        </x15:pivotRow>
        <x15:pivotRow count="1">
          <x15:c>
            <x15:v>0.79227557411273486</x15:v>
          </x15:c>
        </x15:pivotRow>
        <x15:pivotRow count="1">
          <x15:c>
            <x15:v>0.80271398747390399</x15:v>
          </x15:c>
        </x15:pivotRow>
        <x15:pivotRow count="1">
          <x15:c>
            <x15:v>0.83611691022964507</x15:v>
          </x15:c>
        </x15:pivotRow>
        <x15:pivotRow count="1">
          <x15:c>
            <x15:v>0.84133611691022969</x15:v>
          </x15:c>
        </x15:pivotRow>
        <x15:pivotRow count="1">
          <x15:c>
            <x15:v>0.85177453027139871</x15:v>
          </x15:c>
        </x15:pivotRow>
        <x15:pivotRow count="1">
          <x15:c>
            <x15:v>0.79958246346555328</x15:v>
          </x15:c>
        </x15:pivotRow>
        <x15:pivotRow count="1">
          <x15:c>
            <x15:v>0.82045929018789143</x15:v>
          </x15:c>
        </x15:pivotRow>
        <x15:pivotRow count="1">
          <x15:c>
            <x15:v>0.77557411273486432</x15:v>
          </x15:c>
        </x15:pivotRow>
        <x15:pivotRow count="1">
          <x15:c>
            <x15:v>0.85699373695198333</x15:v>
          </x15:c>
        </x15:pivotRow>
        <x15:pivotRow count="1">
          <x15:c>
            <x15:v>0.80375782881002089</x15:v>
          </x15:c>
        </x15:pivotRow>
        <x15:pivotRow count="1">
          <x15:c>
            <x15:v>0.80584551148225469</x15:v>
          </x15:c>
        </x15:pivotRow>
        <x15:pivotRow count="1">
          <x15:c>
            <x15:v>0.82463465553235904</x15:v>
          </x15:c>
        </x15:pivotRow>
        <x15:pivotRow count="1">
          <x15:c>
            <x15:v>0.81315240083507312</x15:v>
          </x15:c>
        </x15:pivotRow>
        <x15:pivotRow count="1">
          <x15:c>
            <x15:v>0.70668058455114824</x15:v>
          </x15:c>
        </x15:pivotRow>
        <x15:pivotRow count="1">
          <x15:c>
            <x15:v>0.62734864300626303</x15:v>
          </x15:c>
        </x15:pivotRow>
        <x15:pivotRow count="1">
          <x15:c>
            <x15:v>0.75469728601252606</x15:v>
          </x15:c>
        </x15:pivotRow>
        <x15:pivotRow count="1">
          <x15:c>
            <x15:v>0.70146137787056373</x15:v>
          </x15:c>
        </x15:pivotRow>
        <x15:pivotRow count="1">
          <x15:c>
            <x15:v>0.77453027139874742</x15:v>
          </x15:c>
        </x15:pivotRow>
        <x15:pivotRow count="1">
          <x15:c>
            <x15:v>0.75365344467640916</x15:v>
          </x15:c>
        </x15:pivotRow>
        <x15:pivotRow count="1">
          <x15:c>
            <x15:v>0.74112734864300622</x15:v>
          </x15:c>
        </x15:pivotRow>
        <x15:pivotRow count="1">
          <x15:c>
            <x15:v>0.75678496868475986</x15:v>
          </x15:c>
        </x15:pivotRow>
        <x15:pivotRow count="1">
          <x15:c>
            <x15:v>0.74112734864300622</x15:v>
          </x15:c>
        </x15:pivotRow>
        <x15:pivotRow count="1">
          <x15:c>
            <x15:v>0.78601252609603345</x15:v>
          </x15:c>
        </x15:pivotRow>
        <x15:pivotRow count="1">
          <x15:c>
            <x15:v>0.7306889352818372</x15:v>
          </x15:c>
        </x15:pivotRow>
        <x15:pivotRow count="1">
          <x15:c>
            <x15:v>0.73590814196242171</x15:v>
          </x15:c>
        </x15:pivotRow>
        <x15:pivotRow count="1">
          <x15:c>
            <x15:v>0.79227557411273486</x15:v>
          </x15:c>
        </x15:pivotRow>
        <x15:pivotRow count="1">
          <x15:c>
            <x15:v>0.76722338204592899</x15:v>
          </x15:c>
        </x15:pivotRow>
        <x15:pivotRow count="1">
          <x15:c>
            <x15:v>0.72755741127348639</x15:v>
          </x15:c>
        </x15:pivotRow>
        <x15:pivotRow count="1">
          <x15:c>
            <x15:v>0.6910229645093946</x15:v>
          </x15:c>
        </x15:pivotRow>
        <x15:pivotRow count="1">
          <x15:c>
            <x15:v>0.73903966597077242</x15:v>
          </x15:c>
        </x15:pivotRow>
        <x15:pivotRow count="1">
          <x15:c>
            <x15:v>0.76200417536534448</x15:v>
          </x15:c>
        </x15:pivotRow>
        <x15:pivotRow count="1">
          <x15:c>
            <x15:v>0.74112734864300622</x15:v>
          </x15:c>
        </x15:pivotRow>
        <x15:pivotRow count="1">
          <x15:c>
            <x15:v>0.69415448851774531</x15:v>
          </x15:c>
        </x15:pivotRow>
        <x15:pivotRow count="1">
          <x15:c>
            <x15:v>0.75678496868475986</x15:v>
          </x15:c>
        </x15:pivotRow>
        <x15:pivotRow count="1">
          <x15:c>
            <x15:v>0.74843423799582465</x15:v>
          </x15:c>
        </x15:pivotRow>
        <x15:pivotRow count="1">
          <x15:c>
            <x15:v>0.75574112734864296</x15:v>
          </x15:c>
        </x15:pivotRow>
        <x15:pivotRow count="1">
          <x15:c>
            <x15:v>0.78288100208768263</x15:v>
          </x15:c>
        </x15:pivotRow>
        <x15:pivotRow count="1">
          <x15:c>
            <x15:v>0.72129436325678498</x15:v>
          </x15:c>
        </x15:pivotRow>
        <x15:pivotRow count="1">
          <x15:c>
            <x15:v>0.69937369519832981</x15:v>
          </x15:c>
        </x15:pivotRow>
        <x15:pivotRow count="1">
          <x15:c>
            <x15:v>0.87160751565762007</x15:v>
          </x15:c>
        </x15:pivotRow>
        <x15:pivotRow count="1">
          <x15:c>
            <x15:v>0.80062630480167019</x15:v>
          </x15:c>
        </x15:pivotRow>
        <x15:pivotRow count="1">
          <x15:c>
            <x15:v>0.76722338204592899</x15:v>
          </x15:c>
        </x15:pivotRow>
        <x15:pivotRow count="1">
          <x15:c>
            <x15:v>0.76304801670146138</x15:v>
          </x15:c>
        </x15:pivotRow>
        <x15:pivotRow count="1">
          <x15:c>
            <x15:v>0.63117870722433456</x15:v>
          </x15:c>
        </x15:pivotRow>
        <x15:pivotRow count="1">
          <x15:c>
            <x15:v>0.61977186311787069</x15:v>
          </x15:c>
        </x15:pivotRow>
        <x15:pivotRow count="1">
          <x15:c>
            <x15:v>0.60171102661596954</x15:v>
          </x15:c>
        </x15:pivotRow>
        <x15:pivotRow count="1">
          <x15:c>
            <x15:v>0.64258555133079853</x15:v>
          </x15:c>
        </x15:pivotRow>
        <x15:pivotRow count="1">
          <x15:c>
            <x15:v>0.66986564299424189</x15:v>
          </x15:c>
        </x15:pivotRow>
        <x15:pivotRow count="1">
          <x15:c>
            <x15:v>0.61324376199616126</x15:v>
          </x15:c>
        </x15:pivotRow>
        <x15:pivotRow count="1">
          <x15:c>
            <x15:v>0.63435700575815734</x15:v>
          </x15:c>
        </x15:pivotRow>
        <x15:pivotRow count="1">
          <x15:c>
            <x15:v>0.60460652591170827</x15:v>
          </x15:c>
        </x15:pivotRow>
        <x15:pivotRow count="1">
          <x15:c>
            <x15:v>0.61324376199616126</x15:v>
          </x15:c>
        </x15:pivotRow>
        <x15:pivotRow count="1">
          <x15:c>
            <x15:v>0.6324376199616123</x15:v>
          </x15:c>
        </x15:pivotRow>
        <x15:pivotRow count="1">
          <x15:c>
            <x15:v>0.64203454894433776</x15:v>
          </x15:c>
        </x15:pivotRow>
        <x15:pivotRow count="1">
          <x15:c>
            <x15:v>0.64683301343570054</x15:v>
          </x15:c>
        </x15:pivotRow>
        <x15:pivotRow count="1">
          <x15:c>
            <x15:v>0.76391554702495201</x15:v>
          </x15:c>
        </x15:pivotRow>
        <x15:pivotRow count="1">
          <x15:c>
            <x15:v>0.73032629558541262</x15:v>
          </x15:c>
        </x15:pivotRow>
        <x15:pivotRow count="1">
          <x15:c>
            <x15:v>0.73320537428023036</x15:v>
          </x15:c>
        </x15:pivotRow>
        <x15:pivotRow count="1">
          <x15:c>
            <x15:v>0.69385796545105571</x15:v>
          </x15:c>
        </x15:pivotRow>
        <x15:pivotRow count="1">
          <x15:c>
            <x15:v>0.67274472168905952</x15:v>
          </x15:c>
        </x15:pivotRow>
        <x15:pivotRow count="1">
          <x15:c>
            <x15:v>0.69385796545105571</x15:v>
          </x15:c>
        </x15:pivotRow>
        <x15:pivotRow count="1">
          <x15:c>
            <x15:v>0.7437619961612284</x15:v>
          </x15:c>
        </x15:pivotRow>
        <x15:pivotRow count="1">
          <x15:c>
            <x15:v>0.71785028790786953</x15:v>
          </x15:c>
        </x15:pivotRow>
        <x15:pivotRow count="1">
          <x15:c>
            <x15:v>0.68042226487523993</x15:v>
          </x15:c>
        </x15:pivotRow>
        <x15:pivotRow count="1">
          <x15:c>
            <x15:v>0.7063339731285988</x15:v>
          </x15:c>
        </x15:pivotRow>
        <x15:pivotRow count="1">
          <x15:c>
            <x15:v>0.73608445297504799</x15:v>
          </x15:c>
        </x15:pivotRow>
        <x15:pivotRow count="1">
          <x15:c>
            <x15:v>0.74664107485604603</x15:v>
          </x15:c>
        </x15:pivotRow>
        <x15:pivotRow count="1">
          <x15:c>
            <x15:v>0.75335892514395397</x15:v>
          </x15:c>
        </x15:pivotRow>
        <x15:pivotRow count="1">
          <x15:c>
            <x15:v>0.72744721689059499</x15:v>
          </x15:c>
        </x15:pivotRow>
        <x15:pivotRow count="1">
          <x15:c>
            <x15:v>0.67850287907869478</x15:v>
          </x15:c>
        </x15:pivotRow>
        <x15:pivotRow count="1">
          <x15:c>
            <x15:v>0.78804347826086951</x15:v>
          </x15:c>
        </x15:pivotRow>
        <x15:pivotRow count="1">
          <x15:c>
            <x15:v>0.7369565217391304</x15:v>
          </x15:c>
        </x15:pivotRow>
        <x15:pivotRow count="1">
          <x15:c>
            <x15:v>0.74891304347826082</x15:v>
          </x15:c>
        </x15:pivotRow>
        <x15:pivotRow count="1">
          <x15:c>
            <x15:v>0.76413043478260867</x15:v>
          </x15:c>
        </x15:pivotRow>
        <x15:pivotRow count="1">
          <x15:c>
            <x15:v>0.7804347826086957</x15:v>
          </x15:c>
        </x15:pivotRow>
        <x15:pivotRow count="1">
          <x15:c>
            <x15:v>0.76956521739130435</x15:v>
          </x15:c>
        </x15:pivotRow>
        <x15:pivotRow count="1">
          <x15:c>
            <x15:v>0.7369565217391304</x15:v>
          </x15:c>
        </x15:pivotRow>
        <x15:pivotRow count="1">
          <x15:c>
            <x15:v>0.74347826086956526</x15:v>
          </x15:c>
        </x15:pivotRow>
        <x15:pivotRow count="1">
          <x15:c>
            <x15:v>0.74891304347826082</x15:v>
          </x15:c>
        </x15:pivotRow>
        <x15:pivotRow count="1">
          <x15:c>
            <x15:v>0.80978260869565222</x15:v>
          </x15:c>
        </x15:pivotRow>
        <x15:pivotRow count="1">
          <x15:c>
            <x15:v>0.83804347826086956</x15:v>
          </x15:c>
        </x15:pivotRow>
        <x15:pivotRow count="1">
          <x15:c>
            <x15:v>0.87826086956521743</x15:v>
          </x15:c>
        </x15:pivotRow>
        <x15:pivotRow count="1">
          <x15:c>
            <x15:v>0.90898876404494378</x15:v>
          </x15:c>
        </x15:pivotRow>
        <x15:pivotRow count="1">
          <x15:c>
            <x15:v>0.85280898876404498</x15:v>
          </x15:c>
        </x15:pivotRow>
        <x15:pivotRow count="1">
          <x15:c>
            <x15:v>0.8314606741573034</x15:v>
          </x15:c>
        </x15:pivotRow>
        <x15:pivotRow count="1">
          <x15:c>
            <x15:v>0.69444444444444442</x15:v>
          </x15:c>
        </x15:pivotRow>
        <x15:pivotRow count="1">
          <x15:c>
            <x15:v>0.68961352657004826</x15:v>
          </x15:c>
        </x15:pivotRow>
        <x15:pivotRow count="1">
          <x15:c>
            <x15:v>0.72705314009661837</x15:v>
          </x15:c>
        </x15:pivotRow>
        <x15:pivotRow count="1">
          <x15:c>
            <x15:v>0.84014423076923073</x15:v>
          </x15:c>
        </x15:pivotRow>
        <x15:pivotRow count="1">
          <x15:c>
            <x15:v>0.88581730769230771</x15:v>
          </x15:c>
        </x15:pivotRow>
        <x15:pivotRow count="1">
          <x15:c>
            <x15:v>0.83333333333333337</x15:v>
          </x15:c>
        </x15:pivotRow>
        <x15:pivotRow count="1">
          <x15:c>
            <x15:v>123.13238670480689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Occupancy Mei-Juni 19.xlsx!Table13">
        <x15:activeTabTopLevelEntity name="[Table13]"/>
      </x15:pivotTableUISettings>
    </ext>
  </extLst>
</pivotTableDefinition>
</file>

<file path=xl/pivotTables/pivotTable4.xml><?xml version="1.0" encoding="utf-8"?>
<pivotTableDefinition xmlns="http://schemas.openxmlformats.org/spreadsheetml/2006/main" name="PivotChartTable1" cacheId="7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outline="1" outlineData="1" multipleFieldFilters="0" chartFormat="1">
  <location ref="A1:C157" firstHeaderRow="0" firstDataRow="1" firstDataCol="1"/>
  <pivotFields count="3">
    <pivotField axis="axisRow" allDrilled="1" showAll="0" dataSourceSort="1" defaultAttributeDrillState="1">
      <items count="1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dataField="1" showAll="0"/>
    <pivotField dataField="1" showAll="0"/>
  </pivotFields>
  <rowFields count="1">
    <field x="0"/>
  </rowFields>
  <rowItems count="1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 t="grand">
      <x/>
    </i>
  </rowItems>
  <colFields count="1">
    <field x="-2"/>
  </colFields>
  <colItems count="2">
    <i>
      <x/>
    </i>
    <i i="1">
      <x v="1"/>
    </i>
  </colItems>
  <dataFields count="2">
    <dataField name="Capacity" fld="1" baseField="0" baseItem="0"/>
    <dataField name="Occupancy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56" columnCount="2" cacheId="1">
        <x15:pivotRow count="2">
          <x15:c>
            <x15:v>1</x15:v>
          </x15:c>
          <x15:c>
            <x15:v>0.85175459536882314</x15:v>
          </x15:c>
        </x15:pivotRow>
        <x15:pivotRow count="2">
          <x15:c>
            <x15:v>1</x15:v>
          </x15:c>
          <x15:c>
            <x15:v>0.83504416328479347</x15:v>
          </x15:c>
        </x15:pivotRow>
        <x15:pivotRow count="2">
          <x15:c>
            <x15:v>1</x15:v>
          </x15:c>
          <x15:c>
            <x15:v>0.83908329226219813</x15:v>
          </x15:c>
        </x15:pivotRow>
        <x15:pivotRow count="2">
          <x15:c>
            <x15:v>1</x15:v>
          </x15:c>
          <x15:c>
            <x15:v>0.79176934450468206</x15:v>
          </x15:c>
        </x15:pivotRow>
        <x15:pivotRow count="2">
          <x15:c>
            <x15:v>1</x15:v>
          </x15:c>
          <x15:c>
            <x15:v>0.80827994085756527</x15:v>
          </x15:c>
        </x15:pivotRow>
        <x15:pivotRow count="2">
          <x15:c>
            <x15:v>1</x15:v>
          </x15:c>
          <x15:c>
            <x15:v>0.82552981764415967</x15:v>
          </x15:c>
        </x15:pivotRow>
        <x15:pivotRow count="2">
          <x15:c>
            <x15:v>1</x15:v>
          </x15:c>
          <x15:c>
            <x15:v>0.82996550024642679</x15:v>
          </x15:c>
        </x15:pivotRow>
        <x15:pivotRow count="2">
          <x15:c>
            <x15:v>1</x15:v>
          </x15:c>
          <x15:c>
            <x15:v>0.83464760965993101</x15:v>
          </x15:c>
        </x15:pivotRow>
        <x15:pivotRow count="2">
          <x15:c>
            <x15:v>1</x15:v>
          </x15:c>
          <x15:c>
            <x15:v>0.80335140463282406</x15:v>
          </x15:c>
        </x15:pivotRow>
        <x15:pivotRow count="2">
          <x15:c>
            <x15:v>1</x15:v>
          </x15:c>
          <x15:c>
            <x15:v>0.79103006407097087</x15:v>
          </x15:c>
        </x15:pivotRow>
        <x15:pivotRow count="2">
          <x15:c>
            <x15:v>1</x15:v>
          </x15:c>
          <x15:c>
            <x15:v>0.82232626909807782</x15:v>
          </x15:c>
        </x15:pivotRow>
        <x15:pivotRow count="2">
          <x15:c>
            <x15:v>1</x15:v>
          </x15:c>
          <x15:c>
            <x15:v>0.81271562345983239</x15:v>
          </x15:c>
        </x15:pivotRow>
        <x15:pivotRow count="2">
          <x15:c>
            <x15:v>1</x15:v>
          </x15:c>
          <x15:c>
            <x15:v>0.78092656481025136</x15:v>
          </x15:c>
        </x15:pivotRow>
        <x15:pivotRow count="2">
          <x15:c>
            <x15:v>1</x15:v>
          </x15:c>
          <x15:c>
            <x15:v>0.75797325102880664</x15:v>
          </x15:c>
        </x15:pivotRow>
        <x15:pivotRow count="2">
          <x15:c>
            <x15:v>1</x15:v>
          </x15:c>
          <x15:c>
            <x15:v>0.75308641975308643</x15:v>
          </x15:c>
        </x15:pivotRow>
        <x15:pivotRow count="2">
          <x15:c>
            <x15:v>1</x15:v>
          </x15:c>
          <x15:c>
            <x15:v>0.76568930041152261</x15:v>
          </x15:c>
        </x15:pivotRow>
        <x15:pivotRow count="2">
          <x15:c>
            <x15:v>1</x15:v>
          </x15:c>
          <x15:c>
            <x15:v>0.75231481481481477</x15:v>
          </x15:c>
        </x15:pivotRow>
        <x15:pivotRow count="2">
          <x15:c>
            <x15:v>1</x15:v>
          </x15:c>
          <x15:c>
            <x15:v>0.72916666666666663</x15:v>
          </x15:c>
        </x15:pivotRow>
        <x15:pivotRow count="2">
          <x15:c>
            <x15:v>1</x15:v>
          </x15:c>
          <x15:c>
            <x15:v>0.70550411522633749</x15:v>
          </x15:c>
        </x15:pivotRow>
        <x15:pivotRow count="2">
          <x15:c>
            <x15:v>1</x15:v>
          </x15:c>
          <x15:c>
            <x15:v>0.67592592592592593</x15:v>
          </x15:c>
        </x15:pivotRow>
        <x15:pivotRow count="2">
          <x15:c>
            <x15:v>1</x15:v>
          </x15:c>
          <x15:c>
            <x15:v>0.66255144032921809</x15:v>
          </x15:c>
        </x15:pivotRow>
        <x15:pivotRow count="2">
          <x15:c>
            <x15:v>1</x15:v>
          </x15:c>
          <x15:c>
            <x15:v>0.70498971193415638</x15:v>
          </x15:c>
        </x15:pivotRow>
        <x15:pivotRow count="2">
          <x15:c>
            <x15:v>1</x15:v>
          </x15:c>
          <x15:c>
            <x15:v>0.7260802469135802</x15:v>
          </x15:c>
        </x15:pivotRow>
        <x15:pivotRow count="2">
          <x15:c>
            <x15:v>1</x15:v>
          </x15:c>
          <x15:c>
            <x15:v>0.71527777777777779</x15:v>
          </x15:c>
        </x15:pivotRow>
        <x15:pivotRow count="2">
          <x15:c>
            <x15:v>1</x15:v>
          </x15:c>
          <x15:c>
            <x15:v>0.71219135802469136</x15:v>
          </x15:c>
        </x15:pivotRow>
        <x15:pivotRow count="2">
          <x15:c>
            <x15:v>1</x15:v>
          </x15:c>
          <x15:c>
            <x15:v>0.69984567901234573</x15:v>
          </x15:c>
        </x15:pivotRow>
        <x15:pivotRow count="2">
          <x15:c>
            <x15:v>1</x15:v>
          </x15:c>
          <x15:c>
            <x15:v>0.70627572016460904</x15:v>
          </x15:c>
        </x15:pivotRow>
        <x15:pivotRow count="2">
          <x15:c>
            <x15:v>1</x15:v>
          </x15:c>
          <x15:c>
            <x15:v>0.70807613168724282</x15:v>
          </x15:c>
        </x15:pivotRow>
        <x15:pivotRow count="2">
          <x15:c>
            <x15:v>1</x15:v>
          </x15:c>
          <x15:c>
            <x15:v>0.75</x15:v>
          </x15:c>
        </x15:pivotRow>
        <x15:pivotRow count="2">
          <x15:c>
            <x15:v>1</x15:v>
          </x15:c>
          <x15:c>
            <x15:v>0.75231481481481477</x15:v>
          </x15:c>
        </x15:pivotRow>
        <x15:pivotRow count="2">
          <x15:c>
            <x15:v>1</x15:v>
          </x15:c>
          <x15:c>
            <x15:v>0.77597736625514402</x15:v>
          </x15:c>
        </x15:pivotRow>
        <x15:pivotRow count="2">
          <x15:c>
            <x15:v>1</x15:v>
          </x15:c>
          <x15:c>
            <x15:v>0.79861111111111116</x15:v>
          </x15:c>
        </x15:pivotRow>
        <x15:pivotRow count="2">
          <x15:c>
            <x15:v>1</x15:v>
          </x15:c>
          <x15:c>
            <x15:v>0.79243827160493829</x15:v>
          </x15:c>
        </x15:pivotRow>
        <x15:pivotRow count="2">
          <x15:c>
            <x15:v>1</x15:v>
          </x15:c>
          <x15:c>
            <x15:v>0.77469135802469136</x15:v>
          </x15:c>
        </x15:pivotRow>
        <x15:pivotRow count="2">
          <x15:c>
            <x15:v>1</x15:v>
          </x15:c>
          <x15:c>
            <x15:v>0.74588477366255146</x15:v>
          </x15:c>
        </x15:pivotRow>
        <x15:pivotRow count="2">
          <x15:c>
            <x15:v>1</x15:v>
          </x15:c>
          <x15:c>
            <x15:v>0.72132848988064346</x15:v>
          </x15:c>
        </x15:pivotRow>
        <x15:pivotRow count="2">
          <x15:c>
            <x15:v>1</x15:v>
          </x15:c>
          <x15:c>
            <x15:v>0.76024909185262068</x15:v>
          </x15:c>
        </x15:pivotRow>
        <x15:pivotRow count="2">
          <x15:c>
            <x15:v>1</x15:v>
          </x15:c>
          <x15:c>
            <x15:v>0.78691099476439785</x15:v>
          </x15:c>
        </x15:pivotRow>
        <x15:pivotRow count="2">
          <x15:c>
            <x15:v>1</x15:v>
          </x15:c>
          <x15:c>
            <x15:v>0.77068062827225126</x15:v>
          </x15:c>
        </x15:pivotRow>
        <x15:pivotRow count="2">
          <x15:c>
            <x15:v>1</x15:v>
          </x15:c>
          <x15:c>
            <x15:v>0.75366492146596864</x15:v>
          </x15:c>
        </x15:pivotRow>
        <x15:pivotRow count="2">
          <x15:c>
            <x15:v>1</x15:v>
          </x15:c>
          <x15:c>
            <x15:v>0.74476439790575921</x15:v>
          </x15:c>
        </x15:pivotRow>
        <x15:pivotRow count="2">
          <x15:c>
            <x15:v>1</x15:v>
          </x15:c>
          <x15:c>
            <x15:v>0.75104712041884814</x15:v>
          </x15:c>
        </x15:pivotRow>
        <x15:pivotRow count="2">
          <x15:c>
            <x15:v>1</x15:v>
          </x15:c>
          <x15:c>
            <x15:v>0.78246073298429319</x15:v>
          </x15:c>
        </x15:pivotRow>
        <x15:pivotRow count="2">
          <x15:c>
            <x15:v>1</x15:v>
          </x15:c>
          <x15:c>
            <x15:v>0.77931937172774868</x15:v>
          </x15:c>
        </x15:pivotRow>
        <x15:pivotRow count="2">
          <x15:c>
            <x15:v>1</x15:v>
          </x15:c>
          <x15:c>
            <x15:v>0.74790575916230362</x15:v>
          </x15:c>
        </x15:pivotRow>
        <x15:pivotRow count="2">
          <x15:c>
            <x15:v>1</x15:v>
          </x15:c>
          <x15:c>
            <x15:v>0.77539267015706803</x15:v>
          </x15:c>
        </x15:pivotRow>
        <x15:pivotRow count="2">
          <x15:c>
            <x15:v>1</x15:v>
          </x15:c>
          <x15:c>
            <x15:v>0.78586387434554972</x15:v>
          </x15:c>
        </x15:pivotRow>
        <x15:pivotRow count="2">
          <x15:c>
            <x15:v>1</x15:v>
          </x15:c>
          <x15:c>
            <x15:v>0.81858638743455492</x15:v>
          </x15:c>
        </x15:pivotRow>
        <x15:pivotRow count="2">
          <x15:c>
            <x15:v>1</x15:v>
          </x15:c>
          <x15:c>
            <x15:v>0.77774869109947642</x15:v>
          </x15:c>
        </x15:pivotRow>
        <x15:pivotRow count="2">
          <x15:c>
            <x15:v>1</x15:v>
          </x15:c>
          <x15:c>
            <x15:v>0.73455497382198953</x15:v>
          </x15:c>
        </x15:pivotRow>
        <x15:pivotRow count="2">
          <x15:c>
            <x15:v>1</x15:v>
          </x15:c>
          <x15:c>
            <x15:v>0.75235602094240839</x15:v>
          </x15:c>
        </x15:pivotRow>
        <x15:pivotRow count="2">
          <x15:c>
            <x15:v>1</x15:v>
          </x15:c>
          <x15:c>
            <x15:v>0.76858638743455499</x15:v>
          </x15:c>
        </x15:pivotRow>
        <x15:pivotRow count="2">
          <x15:c>
            <x15:v>1</x15:v>
          </x15:c>
          <x15:c>
            <x15:v>0.74659685863874348</x15:v>
          </x15:c>
        </x15:pivotRow>
        <x15:pivotRow count="2">
          <x15:c>
            <x15:v>1</x15:v>
          </x15:c>
          <x15:c>
            <x15:v>0.73586387434554978</x15:v>
          </x15:c>
        </x15:pivotRow>
        <x15:pivotRow count="2">
          <x15:c>
            <x15:v>1</x15:v>
          </x15:c>
          <x15:c>
            <x15:v>0.73451327433628322</x15:v>
          </x15:c>
        </x15:pivotRow>
        <x15:pivotRow count="2">
          <x15:c>
            <x15:v>1</x15:v>
          </x15:c>
          <x15:c>
            <x15:v>0.72372787610619471</x15:v>
          </x15:c>
        </x15:pivotRow>
        <x15:pivotRow count="2">
          <x15:c>
            <x15:v>1</x15:v>
          </x15:c>
          <x15:c>
            <x15:v>0.76769911504424782</x15:v>
          </x15:c>
        </x15:pivotRow>
        <x15:pivotRow count="2">
          <x15:c>
            <x15:v>1</x15:v>
          </x15:c>
          <x15:c>
            <x15:v>0.81720132743362828</x15:v>
          </x15:c>
        </x15:pivotRow>
        <x15:pivotRow count="2">
          <x15:c>
            <x15:v>1</x15:v>
          </x15:c>
          <x15:c>
            <x15:v>0.79563053097345138</x15:v>
          </x15:c>
        </x15:pivotRow>
        <x15:pivotRow count="2">
          <x15:c>
            <x15:v>1</x15:v>
          </x15:c>
          <x15:c>
            <x15:v>0.77046460176991149</x15:v>
          </x15:c>
        </x15:pivotRow>
        <x15:pivotRow count="2">
          <x15:c>
            <x15:v>1</x15:v>
          </x15:c>
          <x15:c>
            <x15:v>0.79009955752212391</x15:v>
          </x15:c>
        </x15:pivotRow>
        <x15:pivotRow count="2">
          <x15:c>
            <x15:v>1</x15:v>
          </x15:c>
          <x15:c>
            <x15:v>0.79314159292035402</x15:v>
          </x15:c>
        </x15:pivotRow>
        <x15:pivotRow count="2">
          <x15:c>
            <x15:v>1</x15:v>
          </x15:c>
          <x15:c>
            <x15:v>0.84292035398230092</x15:v>
          </x15:c>
        </x15:pivotRow>
        <x15:pivotRow count="2">
          <x15:c>
            <x15:v>1</x15:v>
          </x15:c>
          <x15:c>
            <x15:v>0.83130530973451322</x15:v>
          </x15:c>
        </x15:pivotRow>
        <x15:pivotRow count="2">
          <x15:c>
            <x15:v>1</x15:v>
          </x15:c>
          <x15:c>
            <x15:v>0.79231194690265483</x15:v>
          </x15:c>
        </x15:pivotRow>
        <x15:pivotRow count="2">
          <x15:c>
            <x15:v>1</x15:v>
          </x15:c>
          <x15:c>
            <x15:v>0.80530973451327437</x15:v>
          </x15:c>
        </x15:pivotRow>
        <x15:pivotRow count="2">
          <x15:c>
            <x15:v>1</x15:v>
          </x15:c>
          <x15:c>
            <x15:v>0.81775442477876104</x15:v>
          </x15:c>
        </x15:pivotRow>
        <x15:pivotRow count="2">
          <x15:c>
            <x15:v>1</x15:v>
          </x15:c>
          <x15:c>
            <x15:v>0.84679203539823011</x15:v>
          </x15:c>
        </x15:pivotRow>
        <x15:pivotRow count="2">
          <x15:c>
            <x15:v>1</x15:v>
          </x15:c>
          <x15:c>
            <x15:v>0.84126106194690264</x15:v>
          </x15:c>
        </x15:pivotRow>
        <x15:pivotRow count="2">
          <x15:c>
            <x15:v>1</x15:v>
          </x15:c>
          <x15:c>
            <x15:v>0.73617256637168138</x15:v>
          </x15:c>
        </x15:pivotRow>
        <x15:pivotRow count="2">
          <x15:c>
            <x15:v>1</x15:v>
          </x15:c>
          <x15:c>
            <x15:v>0.75304203539823011</x15:v>
          </x15:c>
        </x15:pivotRow>
        <x15:pivotRow count="2">
          <x15:c>
            <x15:v>1</x15:v>
          </x15:c>
          <x15:c>
            <x15:v>0.77046460176991149</x15:v>
          </x15:c>
        </x15:pivotRow>
        <x15:pivotRow count="2">
          <x15:c>
            <x15:v>1</x15:v>
          </x15:c>
          <x15:c>
            <x15:v>0.80254424778761058</x15:v>
          </x15:c>
        </x15:pivotRow>
        <x15:pivotRow count="2">
          <x15:c>
            <x15:v>1</x15:v>
          </x15:c>
          <x15:c>
            <x15:v>0.79894911504424782</x15:v>
          </x15:c>
        </x15:pivotRow>
        <x15:pivotRow count="2">
          <x15:c>
            <x15:v>1</x15:v>
          </x15:c>
          <x15:c>
            <x15:v>0.78622787610619471</x15:v>
          </x15:c>
        </x15:pivotRow>
        <x15:pivotRow count="2">
          <x15:c>
            <x15:v>1</x15:v>
          </x15:c>
          <x15:c>
            <x15:v>0.79203539823008851</x15:v>
          </x15:c>
        </x15:pivotRow>
        <x15:pivotRow count="2">
          <x15:c>
            <x15:v>1</x15:v>
          </x15:c>
          <x15:c>
            <x15:v>0.80309734513274333</x15:v>
          </x15:c>
        </x15:pivotRow>
        <x15:pivotRow count="2">
          <x15:c>
            <x15:v>1</x15:v>
          </x15:c>
          <x15:c>
            <x15:v>0.76216814159292035</x15:v>
          </x15:c>
        </x15:pivotRow>
        <x15:pivotRow count="2">
          <x15:c>
            <x15:v>1</x15:v>
          </x15:c>
          <x15:c>
            <x15:v>0.7226216814159292</x15:v>
          </x15:c>
        </x15:pivotRow>
        <x15:pivotRow count="2">
          <x15:c>
            <x15:v>1</x15:v>
          </x15:c>
          <x15:c>
            <x15:v>0.82024336283185839</x15:v>
          </x15:c>
        </x15:pivotRow>
        <x15:pivotRow count="2">
          <x15:c>
            <x15:v>1</x15:v>
          </x15:c>
          <x15:c>
            <x15:v>0.81664823008849563</x15:v>
          </x15:c>
        </x15:pivotRow>
        <x15:pivotRow count="2">
          <x15:c>
            <x15:v>1</x15:v>
          </x15:c>
          <x15:c>
            <x15:v>0.8564712389380531</x15:v>
          </x15:c>
        </x15:pivotRow>
        <x15:pivotRow count="2">
          <x15:c>
            <x15:v>1</x15:v>
          </x15:c>
          <x15:c>
            <x15:v>0.83268805309734517</x15:v>
          </x15:c>
        </x15:pivotRow>
        <x15:pivotRow count="2">
          <x15:c>
            <x15:v>1</x15:v>
          </x15:c>
          <x15:c>
            <x15:v>0.81111725663716816</x15:v>
          </x15:c>
        </x15:pivotRow>
        <x15:pivotRow count="2">
          <x15:c>
            <x15:v>1</x15:v>
          </x15:c>
          <x15:c>
            <x15:v>0.81305309734513276</x15:v>
          </x15:c>
        </x15:pivotRow>
        <x15:pivotRow count="2">
          <x15:c>
            <x15:v>1</x15:v>
          </x15:c>
          <x15:c>
            <x15:v>0.78816371681415931</x15:v>
          </x15:c>
        </x15:pivotRow>
        <x15:pivotRow count="2">
          <x15:c>
            <x15:v>1</x15:v>
          </x15:c>
          <x15:c>
            <x15:v>0.75525442477876104</x15:v>
          </x15:c>
        </x15:pivotRow>
        <x15:pivotRow count="2">
          <x15:c>
            <x15:v>1</x15:v>
          </x15:c>
          <x15:c>
            <x15:v>0.74363938053097345</x15:v>
          </x15:c>
        </x15:pivotRow>
        <x15:pivotRow count="2">
          <x15:c>
            <x15:v>1</x15:v>
          </x15:c>
          <x15:c>
            <x15:v>0.76963495575221241</x15:v>
          </x15:c>
        </x15:pivotRow>
        <x15:pivotRow count="2">
          <x15:c>
            <x15:v>1</x15:v>
          </x15:c>
          <x15:c>
            <x15:v>0.78346238938053092</x15:v>
          </x15:c>
        </x15:pivotRow>
        <x15:pivotRow count="2">
          <x15:c>
            <x15:v>1</x15:v>
          </x15:c>
          <x15:c>
            <x15:v>0.80696902654867253</x15:v>
          </x15:c>
        </x15:pivotRow>
        <x15:pivotRow count="2">
          <x15:c>
            <x15:v>1</x15:v>
          </x15:c>
          <x15:c>
            <x15:v>0.80116150442477874</x15:v>
          </x15:c>
        </x15:pivotRow>
        <x15:pivotRow count="2">
          <x15:c>
            <x15:v>1</x15:v>
          </x15:c>
          <x15:c>
            <x15:v>0.76189159292035402</x15:v>
          </x15:c>
        </x15:pivotRow>
        <x15:pivotRow count="2">
          <x15:c>
            <x15:v>1</x15:v>
          </x15:c>
          <x15:c>
            <x15:v>0.75138274336283184</x15:v>
          </x15:c>
        </x15:pivotRow>
        <x15:pivotRow count="2">
          <x15:c>
            <x15:v>1</x15:v>
          </x15:c>
          <x15:c>
            <x15:v>0.78429203539823011</x15:v>
          </x15:c>
        </x15:pivotRow>
        <x15:pivotRow count="2">
          <x15:c>
            <x15:v>1</x15:v>
          </x15:c>
          <x15:c>
            <x15:v>0.77488938053097345</x15:v>
          </x15:c>
        </x15:pivotRow>
        <x15:pivotRow count="2">
          <x15:c>
            <x15:v>1</x15:v>
          </x15:c>
          <x15:c>
            <x15:v>0.77350663716814161</x15:v>
          </x15:c>
        </x15:pivotRow>
        <x15:pivotRow count="2">
          <x15:c>
            <x15:v>1</x15:v>
          </x15:c>
          <x15:c>
            <x15:v>0.83573008849557517</x15:v>
          </x15:c>
        </x15:pivotRow>
        <x15:pivotRow count="2">
          <x15:c>
            <x15:v>1</x15:v>
          </x15:c>
          <x15:c>
            <x15:v>0.84734513274336287</x15:v>
          </x15:c>
        </x15:pivotRow>
        <x15:pivotRow count="2">
          <x15:c>
            <x15:v>1</x15:v>
          </x15:c>
          <x15:c>
            <x15:v>0.84983407079646023</x15:v>
          </x15:c>
        </x15:pivotRow>
        <x15:pivotRow count="2">
          <x15:c>
            <x15:v>1</x15:v>
          </x15:c>
          <x15:c>
            <x15:v>0.86061946902654862</x15:v>
          </x15:c>
        </x15:pivotRow>
        <x15:pivotRow count="2">
          <x15:c>
            <x15:v>1</x15:v>
          </x15:c>
          <x15:c>
            <x15:v>0.85204646017699115</x15:v>
          </x15:c>
        </x15:pivotRow>
        <x15:pivotRow count="2">
          <x15:c>
            <x15:v>1</x15:v>
          </x15:c>
          <x15:c>
            <x15:v>0.80530973451327437</x15:v>
          </x15:c>
        </x15:pivotRow>
        <x15:pivotRow count="2">
          <x15:c>
            <x15:v>1</x15:v>
          </x15:c>
          <x15:c>
            <x15:v>0.87195796460176989</x15:v>
          </x15:c>
        </x15:pivotRow>
        <x15:pivotRow count="2">
          <x15:c>
            <x15:v>1</x15:v>
          </x15:c>
          <x15:c>
            <x15:v>0.86587389380530977</x15:v>
          </x15:c>
        </x15:pivotRow>
        <x15:pivotRow count="2">
          <x15:c>
            <x15:v>1</x15:v>
          </x15:c>
          <x15:c>
            <x15:v>0.84955752212389379</x15:v>
          </x15:c>
        </x15:pivotRow>
        <x15:pivotRow count="2">
          <x15:c>
            <x15:v>1</x15:v>
          </x15:c>
          <x15:c>
            <x15:v>0.86808628318584069</x15:v>
          </x15:c>
        </x15:pivotRow>
        <x15:pivotRow count="2">
          <x15:c>
            <x15:v>1</x15:v>
          </x15:c>
          <x15:c>
            <x15:v>0.89186946902654862</x15:v>
          </x15:c>
        </x15:pivotRow>
        <x15:pivotRow count="2">
          <x15:c>
            <x15:v>1</x15:v>
          </x15:c>
          <x15:c>
            <x15:v>0.86310840707964598</x15:v>
          </x15:c>
        </x15:pivotRow>
        <x15:pivotRow count="2">
          <x15:c>
            <x15:v>1</x15:v>
          </x15:c>
          <x15:c>
            <x15:v>0.83766592920353977</x15:v>
          </x15:c>
        </x15:pivotRow>
        <x15:pivotRow count="2">
          <x15:c>
            <x15:v>1</x15:v>
          </x15:c>
          <x15:c>
            <x15:v>0.85038716814159288</x15:v>
          </x15:c>
        </x15:pivotRow>
        <x15:pivotRow count="2">
          <x15:c>
            <x15:v>1</x15:v>
          </x15:c>
          <x15:c>
            <x15:v>0.83019911504424782</x15:v>
          </x15:c>
        </x15:pivotRow>
        <x15:pivotRow count="2">
          <x15:c>
            <x15:v>1</x15:v>
          </x15:c>
          <x15:c>
            <x15:v>0.85813053097345138</x15:v>
          </x15:c>
        </x15:pivotRow>
        <x15:pivotRow count="2">
          <x15:c>
            <x15:v>1</x15:v>
          </x15:c>
          <x15:c>
            <x15:v>0.83849557522123896</x15:v>
          </x15:c>
        </x15:pivotRow>
        <x15:pivotRow count="2">
          <x15:c>
            <x15:v>1</x15:v>
          </x15:c>
          <x15:c>
            <x15:v>0.8310287610619469</x15:v>
          </x15:c>
        </x15:pivotRow>
        <x15:pivotRow count="2">
          <x15:c>
            <x15:v>1</x15:v>
          </x15:c>
          <x15:c>
            <x15:v>0.86615044247787609</x15:v>
          </x15:c>
        </x15:pivotRow>
        <x15:pivotRow count="2">
          <x15:c>
            <x15:v>1</x15:v>
          </x15:c>
          <x15:c>
            <x15:v>0.88440265486725667</x15:v>
          </x15:c>
        </x15:pivotRow>
        <x15:pivotRow count="2">
          <x15:c>
            <x15:v>1</x15:v>
          </x15:c>
          <x15:c>
            <x15:v>0.91233407079646023</x15:v>
          </x15:c>
        </x15:pivotRow>
        <x15:pivotRow count="2">
          <x15:c>
            <x15:v>1</x15:v>
          </x15:c>
          <x15:c>
            <x15:v>0.90901548672566368</x15:v>
          </x15:c>
        </x15:pivotRow>
        <x15:pivotRow count="2">
          <x15:c>
            <x15:v>1</x15:v>
          </x15:c>
          <x15:c>
            <x15:v>0.84623893805309736</x15:v>
          </x15:c>
        </x15:pivotRow>
        <x15:pivotRow count="2">
          <x15:c>
            <x15:v>1</x15:v>
          </x15:c>
          <x15:c>
            <x15:v>0.85232300884955747</x15:v>
          </x15:c>
        </x15:pivotRow>
        <x15:pivotRow count="2">
          <x15:c>
            <x15:v>1</x15:v>
          </x15:c>
          <x15:c>
            <x15:v>0.85232300884955747</x15:v>
          </x15:c>
        </x15:pivotRow>
        <x15:pivotRow count="2">
          <x15:c>
            <x15:v>1</x15:v>
          </x15:c>
          <x15:c>
            <x15:v>0.82660398230088494</x15:v>
          </x15:c>
        </x15:pivotRow>
        <x15:pivotRow count="2">
          <x15:c>
            <x15:v>1</x15:v>
          </x15:c>
          <x15:c>
            <x15:v>0.8125</x15:v>
          </x15:c>
        </x15:pivotRow>
        <x15:pivotRow count="2">
          <x15:c>
            <x15:v>1</x15:v>
          </x15:c>
          <x15:c>
            <x15:v>0.77184734513274333</x15:v>
          </x15:c>
        </x15:pivotRow>
        <x15:pivotRow count="2">
          <x15:c>
            <x15:v>1</x15:v>
          </x15:c>
          <x15:c>
            <x15:v>0.75</x15:v>
          </x15:c>
        </x15:pivotRow>
        <x15:pivotRow count="2">
          <x15:c>
            <x15:v>1</x15:v>
          </x15:c>
          <x15:c>
            <x15:v>0.73855359001040588</x15:v>
          </x15:c>
        </x15:pivotRow>
        <x15:pivotRow count="2">
          <x15:c>
            <x15:v>1</x15:v>
          </x15:c>
          <x15:c>
            <x15:v>0.75234131113423519</x15:v>
          </x15:c>
        </x15:pivotRow>
        <x15:pivotRow count="2">
          <x15:c>
            <x15:v>1</x15:v>
          </x15:c>
          <x15:c>
            <x15:v>0.77393340270551514</x15:v>
          </x15:c>
        </x15:pivotRow>
        <x15:pivotRow count="2">
          <x15:c>
            <x15:v>1</x15:v>
          </x15:c>
          <x15:c>
            <x15:v>0.76326742976066597</x15:v>
          </x15:c>
        </x15:pivotRow>
        <x15:pivotRow count="2">
          <x15:c>
            <x15:v>1</x15:v>
          </x15:c>
          <x15:c>
            <x15:v>0.79110301768990632</x15:v>
          </x15:c>
        </x15:pivotRow>
        <x15:pivotRow count="2">
          <x15:c>
            <x15:v>1</x15:v>
          </x15:c>
          <x15:c>
            <x15:v>0.80359001040582723</x15:v>
          </x15:c>
        </x15:pivotRow>
        <x15:pivotRow count="2">
          <x15:c>
            <x15:v>1</x15:v>
          </x15:c>
          <x15:c>
            <x15:v>0.79682622268470349</x15:v>
          </x15:c>
        </x15:pivotRow>
        <x15:pivotRow count="2">
          <x15:c>
            <x15:v>1</x15:v>
          </x15:c>
          <x15:c>
            <x15:v>0.78485952133194592</x15:v>
          </x15:c>
        </x15:pivotRow>
        <x15:pivotRow count="2">
          <x15:c>
            <x15:v>1</x15:v>
          </x15:c>
          <x15:c>
            <x15:v>0.77003121748178982</x15:v>
          </x15:c>
        </x15:pivotRow>
        <x15:pivotRow count="2">
          <x15:c>
            <x15:v>1</x15:v>
          </x15:c>
          <x15:c>
            <x15:v>0.78277835587929245</x15:v>
          </x15:c>
        </x15:pivotRow>
        <x15:pivotRow count="2">
          <x15:c>
            <x15:v>1</x15:v>
          </x15:c>
          <x15:c>
            <x15:v>0.80515088449531735</x15:v>
          </x15:c>
        </x15:pivotRow>
        <x15:pivotRow count="2">
          <x15:c>
            <x15:v>1</x15:v>
          </x15:c>
          <x15:c>
            <x15:v>0.82492195629552545</x15:v>
          </x15:c>
        </x15:pivotRow>
        <x15:pivotRow count="2">
          <x15:c>
            <x15:v>1</x15:v>
          </x15:c>
          <x15:c>
            <x15:v>0.8007284079084287</x15:v>
          </x15:c>
        </x15:pivotRow>
        <x15:pivotRow count="2">
          <x15:c>
            <x15:v>1</x15:v>
          </x15:c>
          <x15:c>
            <x15:v>0.77523413111342354</x15:v>
          </x15:c>
        </x15:pivotRow>
        <x15:pivotRow count="2">
          <x15:c>
            <x15:v>1</x15:v>
          </x15:c>
          <x15:c>
            <x15:v>0.80385015608740895</x15:v>
          </x15:c>
        </x15:pivotRow>
        <x15:pivotRow count="2">
          <x15:c>
            <x15:v>1</x15:v>
          </x15:c>
          <x15:c>
            <x15:v>0.83272632674297609</x15:v>
          </x15:c>
        </x15:pivotRow>
        <x15:pivotRow count="2">
          <x15:c>
            <x15:v>1</x15:v>
          </x15:c>
          <x15:c>
            <x15:v>0.8303850156087409</x15:v>
          </x15:c>
        </x15:pivotRow>
        <x15:pivotRow count="2">
          <x15:c>
            <x15:v>1</x15:v>
          </x15:c>
          <x15:c>
            <x15:v>0.83636836628511968</x15:v>
          </x15:c>
        </x15:pivotRow>
        <x15:pivotRow count="2">
          <x15:c>
            <x15:v>1</x15:v>
          </x15:c>
          <x15:c>
            <x15:v>0.82648283038501558</x15:v>
          </x15:c>
        </x15:pivotRow>
        <x15:pivotRow count="2">
          <x15:c>
            <x15:v>1</x15:v>
          </x15:c>
          <x15:c>
            <x15:v>0.85458167330677293</x15:v>
          </x15:c>
        </x15:pivotRow>
        <x15:pivotRow count="2">
          <x15:c>
            <x15:v>1</x15:v>
          </x15:c>
          <x15:c>
            <x15:v>0.8271604938271605</x15:v>
          </x15:c>
        </x15:pivotRow>
        <x15:pivotRow count="2">
          <x15:c>
            <x15:v>1</x15:v>
          </x15:c>
          <x15:c>
            <x15:v>0.81762065095398428</x15:v>
          </x15:c>
        </x15:pivotRow>
        <x15:pivotRow count="2">
          <x15:c>
            <x15:v>1</x15:v>
          </x15:c>
          <x15:c>
            <x15:v>0.80780022446689115</x15:v>
          </x15:c>
        </x15:pivotRow>
        <x15:pivotRow count="2">
          <x15:c>
            <x15:v>1</x15:v>
          </x15:c>
          <x15:c>
            <x15:v>0.78675645342312006</x15:v>
          </x15:c>
        </x15:pivotRow>
        <x15:pivotRow count="2">
          <x15:c>
            <x15:v>1</x15:v>
          </x15:c>
          <x15:c>
            <x15:v>0.85465768799102138</x15:v>
          </x15:c>
        </x15:pivotRow>
        <x15:pivotRow count="2">
          <x15:c>
            <x15:v>1</x15:v>
          </x15:c>
          <x15:c>
            <x15:v>0.7884910485933504</x15:v>
          </x15:c>
        </x15:pivotRow>
        <x15:pivotRow count="2">
          <x15:c>
            <x15:v>1</x15:v>
          </x15:c>
          <x15:c>
            <x15:v>0.84526854219948844</x15:v>
          </x15:c>
        </x15:pivotRow>
        <x15:pivotRow count="2">
          <x15:c>
            <x15:v>1</x15:v>
          </x15:c>
          <x15:c>
            <x15:v>0.88209718670076731</x15:v>
          </x15:c>
        </x15:pivotRow>
        <x15:pivotRow count="2">
          <x15:c>
            <x15:v>1</x15:v>
          </x15:c>
          <x15:c>
            <x15:v>0.14093959731543623</x15:v>
          </x15:c>
        </x15:pivotRow>
        <x15:pivotRow count="2">
          <x15:c>
            <x15:v>155</x15:v>
          </x15:c>
          <x15:c>
            <x15:v>122.5165866965189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Occupancy Mei-Juni 19.xlsx!Table1">
        <x15:activeTabTopLevelEntity name="[Table1]"/>
      </x15:pivotTableUISettings>
    </ext>
  </extLst>
</pivotTableDefinition>
</file>

<file path=xl/tables/table1.xml><?xml version="1.0" encoding="utf-8"?>
<table xmlns="http://schemas.openxmlformats.org/spreadsheetml/2006/main" id="1" name="Table1" displayName="Table1" ref="A2:I165" totalsRowShown="0" headerRowDxfId="54" dataDxfId="53">
  <autoFilter ref="A2:I165"/>
  <sortState ref="A3:I38">
    <sortCondition ref="B2:B38"/>
  </sortState>
  <tableColumns count="9">
    <tableColumn id="9" name="Owner" dataDxfId="52"/>
    <tableColumn id="1" name="Tanggal" dataDxfId="51"/>
    <tableColumn id="2" name="Qty Lokasi" dataDxfId="50"/>
    <tableColumn id="3" name="Terpakai" dataDxfId="49"/>
    <tableColumn id="4" name="Available" dataDxfId="48"/>
    <tableColumn id="5" name="Staging" dataDxfId="47"/>
    <tableColumn id="6" name="Occupancy" dataDxfId="46" dataCellStyle="Percent">
      <calculatedColumnFormula>(Table1[Terpakai]+Table1[[#This Row],[Staging]])/Table1[Qty Lokasi]</calculatedColumnFormula>
    </tableColumn>
    <tableColumn id="7" name="Empty" dataDxfId="45" dataCellStyle="Percent">
      <calculatedColumnFormula>Table1[Max]-Table1[Occupancy]</calculatedColumnFormula>
    </tableColumn>
    <tableColumn id="8" name="Max" dataDxfId="44" dataCellStyle="Percent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K2:S165" totalsRowShown="0" headerRowDxfId="43" dataDxfId="41" headerRowBorderDxfId="42" tableBorderDxfId="40">
  <autoFilter ref="K2:S165"/>
  <sortState ref="K3:S38">
    <sortCondition ref="L2:L38"/>
  </sortState>
  <tableColumns count="9">
    <tableColumn id="9" name="Owner" dataDxfId="39"/>
    <tableColumn id="1" name="Tanggal" dataDxfId="38"/>
    <tableColumn id="2" name="Qty Lokasi" dataDxfId="37"/>
    <tableColumn id="3" name="Terpakai" dataDxfId="36"/>
    <tableColumn id="4" name="Available" dataDxfId="35"/>
    <tableColumn id="5" name="Staging" dataDxfId="34"/>
    <tableColumn id="6" name="Occupancy" dataDxfId="33" dataCellStyle="Percent">
      <calculatedColumnFormula>(Table13[Terpakai]+Table13[[#This Row],[Staging]])/Table13[Qty Lokasi]</calculatedColumnFormula>
    </tableColumn>
    <tableColumn id="7" name="Empty" dataDxfId="32" dataCellStyle="Percent">
      <calculatedColumnFormula>Table13[Max]-Table13[Occupancy]</calculatedColumnFormula>
    </tableColumn>
    <tableColumn id="8" name="Max" dataDxfId="31" dataCellStyle="Percent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id="7" name="Table7" displayName="Table7" ref="U2:AC165" totalsRowShown="0" headerRowDxfId="30" dataDxfId="28" headerRowBorderDxfId="29" tableBorderDxfId="27" headerRowCellStyle="Percent">
  <autoFilter ref="U2:AC165"/>
  <sortState ref="U3:AC38">
    <sortCondition ref="V2:V38"/>
  </sortState>
  <tableColumns count="9">
    <tableColumn id="1" name="Owner" dataDxfId="26"/>
    <tableColumn id="2" name="Tanggal" dataDxfId="25"/>
    <tableColumn id="3" name="Qty Lokasi" dataDxfId="24"/>
    <tableColumn id="4" name="Terpakai" dataDxfId="23"/>
    <tableColumn id="5" name="Available" dataDxfId="22"/>
    <tableColumn id="6" name="Staging" dataDxfId="21"/>
    <tableColumn id="7" name="Occupancy" dataDxfId="20" dataCellStyle="Percent">
      <calculatedColumnFormula>(Table7[Terpakai]+Table7[[#This Row],[Staging]])/Table7[Qty Lokasi]</calculatedColumnFormula>
    </tableColumn>
    <tableColumn id="8" name="Empty" dataDxfId="19" dataCellStyle="Percent">
      <calculatedColumnFormula>Table7[Max]-Table7[Occupancy]</calculatedColumnFormula>
    </tableColumn>
    <tableColumn id="9" name="Max" dataDxfId="18" dataCellStyle="Percent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AE2:AG165" totalsRowShown="0" headerRowDxfId="17" dataDxfId="16">
  <autoFilter ref="AE2:AG165"/>
  <tableColumns count="3">
    <tableColumn id="1" name="Total" dataDxfId="15">
      <calculatedColumnFormula>SUM(Table1[[#This Row],[Qty Lokasi]]+Table13[[#This Row],[Qty Lokasi]]+Table7[[#This Row],[Qty Lokasi]])</calculatedColumnFormula>
    </tableColumn>
    <tableColumn id="2" name="Available" dataDxfId="14">
      <calculatedColumnFormula>SUM(Table1[[#This Row],[Available]]+Table13[[#This Row],[Available]]+Table7[[#This Row],[Available]])</calculatedColumnFormula>
    </tableColumn>
    <tableColumn id="3" name="Occupancy" dataDxfId="13" dataCellStyle="Percent">
      <calculatedColumnFormula>1-Table3[Available]/Table3[Total]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4" name="Table1345" displayName="Table1345" ref="A2:I166" totalsRowShown="0" headerRowDxfId="12" dataDxfId="10" headerRowBorderDxfId="11" tableBorderDxfId="9">
  <autoFilter ref="A2:I166"/>
  <sortState ref="A3:I38">
    <sortCondition ref="B2:B38"/>
  </sortState>
  <tableColumns count="9">
    <tableColumn id="9" name="Owner" dataDxfId="8"/>
    <tableColumn id="1" name="Tanggal" dataDxfId="7"/>
    <tableColumn id="2" name="Qty Lokasi" dataDxfId="6"/>
    <tableColumn id="3" name="Terpakai" dataDxfId="5"/>
    <tableColumn id="4" name="Available" dataDxfId="4"/>
    <tableColumn id="5" name="Staging" dataDxfId="3"/>
    <tableColumn id="6" name="Occupancy" dataDxfId="2" dataCellStyle="Percent">
      <calculatedColumnFormula>(Table1345[Terpakai]+Table1345[Staging])/Table1345[Qty Lokasi]</calculatedColumnFormula>
    </tableColumn>
    <tableColumn id="7" name="Empty" dataDxfId="1" dataCellStyle="Percent">
      <calculatedColumnFormula>Table1345[Max]-Table1345[Occupancy]</calculatedColumnFormula>
    </tableColumn>
    <tableColumn id="8" name="Max" dataDxfId="0" dataCellStyle="Percent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G165"/>
  <sheetViews>
    <sheetView showGridLines="0" topLeftCell="I142" zoomScale="85" zoomScaleNormal="85" workbookViewId="0">
      <selection activeCell="M169" sqref="M169"/>
    </sheetView>
  </sheetViews>
  <sheetFormatPr defaultRowHeight="15"/>
  <cols>
    <col min="1" max="1" width="9.28515625" style="1" bestFit="1" customWidth="1"/>
    <col min="2" max="2" width="10" style="1" bestFit="1" customWidth="1"/>
    <col min="3" max="3" width="12.28515625" style="3" bestFit="1" customWidth="1"/>
    <col min="4" max="4" width="10.85546875" style="3" bestFit="1" customWidth="1"/>
    <col min="5" max="5" width="11.5703125" style="3" bestFit="1" customWidth="1"/>
    <col min="6" max="6" width="9.7109375" style="3" bestFit="1" customWidth="1"/>
    <col min="7" max="7" width="12.7109375" style="2" bestFit="1" customWidth="1"/>
    <col min="8" max="8" width="8.85546875" style="2" bestFit="1" customWidth="1"/>
    <col min="9" max="9" width="7.140625" style="2" bestFit="1" customWidth="1"/>
    <col min="10" max="10" width="7" style="3" customWidth="1"/>
    <col min="11" max="11" width="9.28515625" style="3" bestFit="1" customWidth="1"/>
    <col min="12" max="12" width="10" style="3" bestFit="1" customWidth="1"/>
    <col min="13" max="13" width="12.28515625" style="3" bestFit="1" customWidth="1"/>
    <col min="14" max="14" width="10.85546875" style="3" bestFit="1" customWidth="1"/>
    <col min="15" max="15" width="11.5703125" style="3" bestFit="1" customWidth="1"/>
    <col min="16" max="16" width="9.7109375" style="3" bestFit="1" customWidth="1"/>
    <col min="17" max="17" width="12.7109375" style="2" bestFit="1" customWidth="1"/>
    <col min="18" max="18" width="8.85546875" style="2" bestFit="1" customWidth="1"/>
    <col min="19" max="19" width="7.140625" style="2" bestFit="1" customWidth="1"/>
    <col min="20" max="21" width="9.140625" style="3"/>
    <col min="22" max="22" width="10.42578125" style="1" bestFit="1" customWidth="1"/>
    <col min="23" max="23" width="12" style="3" customWidth="1"/>
    <col min="24" max="24" width="10.42578125" style="3" customWidth="1"/>
    <col min="25" max="25" width="10.85546875" style="3" customWidth="1"/>
    <col min="26" max="26" width="9.42578125" style="3" customWidth="1"/>
    <col min="27" max="27" width="12.140625" style="2" customWidth="1"/>
    <col min="28" max="29" width="9.140625" style="2"/>
    <col min="30" max="31" width="9.140625" style="3"/>
    <col min="32" max="32" width="12" style="3" customWidth="1"/>
    <col min="33" max="33" width="12.5703125" style="9" customWidth="1"/>
    <col min="34" max="16384" width="9.140625" style="3"/>
  </cols>
  <sheetData>
    <row r="2" spans="1:33">
      <c r="A2" s="4" t="s">
        <v>8</v>
      </c>
      <c r="B2" s="4" t="s">
        <v>0</v>
      </c>
      <c r="C2" s="5" t="s">
        <v>1</v>
      </c>
      <c r="D2" s="5" t="s">
        <v>2</v>
      </c>
      <c r="E2" s="5" t="s">
        <v>7</v>
      </c>
      <c r="F2" s="5" t="s">
        <v>3</v>
      </c>
      <c r="G2" s="6" t="s">
        <v>4</v>
      </c>
      <c r="H2" s="6" t="s">
        <v>5</v>
      </c>
      <c r="I2" s="6" t="s">
        <v>6</v>
      </c>
      <c r="K2" s="4" t="s">
        <v>8</v>
      </c>
      <c r="L2" s="4" t="s">
        <v>0</v>
      </c>
      <c r="M2" s="5" t="s">
        <v>1</v>
      </c>
      <c r="N2" s="5" t="s">
        <v>2</v>
      </c>
      <c r="O2" s="5" t="s">
        <v>7</v>
      </c>
      <c r="P2" s="5" t="s">
        <v>3</v>
      </c>
      <c r="Q2" s="6" t="s">
        <v>4</v>
      </c>
      <c r="R2" s="6" t="s">
        <v>5</v>
      </c>
      <c r="S2" s="6" t="s">
        <v>6</v>
      </c>
      <c r="U2" s="4" t="s">
        <v>8</v>
      </c>
      <c r="V2" s="4" t="s">
        <v>0</v>
      </c>
      <c r="W2" s="5" t="s">
        <v>1</v>
      </c>
      <c r="X2" s="5" t="s">
        <v>2</v>
      </c>
      <c r="Y2" s="5" t="s">
        <v>7</v>
      </c>
      <c r="Z2" s="5" t="s">
        <v>3</v>
      </c>
      <c r="AA2" s="6" t="s">
        <v>4</v>
      </c>
      <c r="AB2" s="6" t="s">
        <v>5</v>
      </c>
      <c r="AC2" s="6" t="s">
        <v>6</v>
      </c>
      <c r="AE2" s="3" t="s">
        <v>13</v>
      </c>
      <c r="AF2" s="3" t="s">
        <v>7</v>
      </c>
      <c r="AG2" s="9" t="s">
        <v>4</v>
      </c>
    </row>
    <row r="3" spans="1:33">
      <c r="A3" s="1" t="s">
        <v>9</v>
      </c>
      <c r="B3" s="1">
        <v>43587</v>
      </c>
      <c r="C3" s="7">
        <v>4189</v>
      </c>
      <c r="D3" s="7">
        <v>3286</v>
      </c>
      <c r="E3" s="7">
        <v>621</v>
      </c>
      <c r="F3" s="7">
        <v>282</v>
      </c>
      <c r="G3" s="2">
        <f>(Table1[Terpakai]+Table1[[#This Row],[Staging]])/Table1[Qty Lokasi]</f>
        <v>0.85175459536882314</v>
      </c>
      <c r="H3" s="2">
        <f>Table1[Max]-Table1[Occupancy]</f>
        <v>0.14824540463117686</v>
      </c>
      <c r="I3" s="2">
        <v>1</v>
      </c>
      <c r="K3" s="1" t="s">
        <v>10</v>
      </c>
      <c r="L3" s="1">
        <v>43587</v>
      </c>
      <c r="M3" s="7">
        <v>170</v>
      </c>
      <c r="N3" s="7">
        <v>120</v>
      </c>
      <c r="O3" s="7">
        <v>17</v>
      </c>
      <c r="P3" s="7">
        <v>33</v>
      </c>
      <c r="Q3" s="2">
        <f>(Table13[Terpakai]+Table13[[#This Row],[Staging]])/Table13[Qty Lokasi]</f>
        <v>0.9</v>
      </c>
      <c r="R3" s="2">
        <f>Table13[Max]-Table13[Occupancy]</f>
        <v>9.9999999999999978E-2</v>
      </c>
      <c r="S3" s="2">
        <v>1</v>
      </c>
      <c r="U3" s="3" t="s">
        <v>11</v>
      </c>
      <c r="V3" s="1">
        <v>43587</v>
      </c>
      <c r="W3" s="7">
        <v>412</v>
      </c>
      <c r="X3" s="7">
        <v>207</v>
      </c>
      <c r="Y3" s="7">
        <v>81</v>
      </c>
      <c r="Z3" s="7">
        <v>124</v>
      </c>
      <c r="AA3" s="2">
        <f>(Table7[Terpakai]+Table7[[#This Row],[Staging]])/Table7[Qty Lokasi]</f>
        <v>0.80339805825242716</v>
      </c>
      <c r="AB3" s="2">
        <f>Table7[Max]-Table7[Occupancy]</f>
        <v>0.19660194174757284</v>
      </c>
      <c r="AC3" s="2">
        <v>1</v>
      </c>
      <c r="AE3" s="3">
        <f>SUM(Table1[[#This Row],[Qty Lokasi]]+Table13[[#This Row],[Qty Lokasi]]+Table7[[#This Row],[Qty Lokasi]])</f>
        <v>4771</v>
      </c>
      <c r="AF3" s="3">
        <f>SUM(Table1[[#This Row],[Available]]+Table13[[#This Row],[Available]]+Table7[[#This Row],[Available]])</f>
        <v>719</v>
      </c>
      <c r="AG3" s="9">
        <f>1-Table3[Available]/Table3[Total]</f>
        <v>0.84929784112345419</v>
      </c>
    </row>
    <row r="4" spans="1:33">
      <c r="A4" s="1" t="s">
        <v>9</v>
      </c>
      <c r="B4" s="1">
        <v>43588</v>
      </c>
      <c r="C4" s="7">
        <v>4189</v>
      </c>
      <c r="D4" s="7">
        <v>3254</v>
      </c>
      <c r="E4" s="7">
        <v>691</v>
      </c>
      <c r="F4" s="7">
        <v>244</v>
      </c>
      <c r="G4" s="2">
        <f>(Table1[Terpakai]+Table1[[#This Row],[Staging]])/Table1[Qty Lokasi]</f>
        <v>0.83504416328479347</v>
      </c>
      <c r="H4" s="2">
        <f>Table1[Max]-Table1[Occupancy]</f>
        <v>0.16495583671520653</v>
      </c>
      <c r="I4" s="2">
        <v>1</v>
      </c>
      <c r="K4" s="1" t="s">
        <v>10</v>
      </c>
      <c r="L4" s="1">
        <v>43588</v>
      </c>
      <c r="M4" s="7">
        <v>170</v>
      </c>
      <c r="N4" s="7">
        <v>123</v>
      </c>
      <c r="O4" s="7">
        <v>29</v>
      </c>
      <c r="P4" s="7">
        <v>18</v>
      </c>
      <c r="Q4" s="2">
        <f>(Table13[Terpakai]+Table13[[#This Row],[Staging]])/Table13[Qty Lokasi]</f>
        <v>0.8294117647058824</v>
      </c>
      <c r="R4" s="2">
        <f>Table13[Max]-Table13[Occupancy]</f>
        <v>0.1705882352941176</v>
      </c>
      <c r="S4" s="2">
        <v>1</v>
      </c>
      <c r="U4" s="3" t="s">
        <v>11</v>
      </c>
      <c r="V4" s="1">
        <v>43588</v>
      </c>
      <c r="W4" s="7">
        <v>412</v>
      </c>
      <c r="X4" s="7">
        <v>233</v>
      </c>
      <c r="Y4" s="7">
        <v>95</v>
      </c>
      <c r="Z4" s="7">
        <v>84</v>
      </c>
      <c r="AA4" s="2">
        <f>(Table7[Terpakai]+Table7[[#This Row],[Staging]])/Table7[Qty Lokasi]</f>
        <v>0.76941747572815533</v>
      </c>
      <c r="AB4" s="2">
        <f>Table7[Max]-Table7[Occupancy]</f>
        <v>0.23058252427184467</v>
      </c>
      <c r="AC4" s="2">
        <v>1</v>
      </c>
      <c r="AE4" s="26">
        <f>SUM(Table1[[#This Row],[Qty Lokasi]]+Table13[[#This Row],[Qty Lokasi]]+Table7[[#This Row],[Qty Lokasi]])</f>
        <v>4771</v>
      </c>
      <c r="AF4" s="26">
        <f>SUM(Table1[[#This Row],[Available]]+Table13[[#This Row],[Available]]+Table7[[#This Row],[Available]])</f>
        <v>815</v>
      </c>
      <c r="AG4" s="27">
        <f>1-Table3[Available]/Table3[Total]</f>
        <v>0.82917627331796273</v>
      </c>
    </row>
    <row r="5" spans="1:33">
      <c r="A5" s="1" t="s">
        <v>9</v>
      </c>
      <c r="B5" s="1">
        <v>43589</v>
      </c>
      <c r="C5" s="7">
        <v>4058</v>
      </c>
      <c r="D5" s="7">
        <v>3283</v>
      </c>
      <c r="E5" s="7">
        <v>653</v>
      </c>
      <c r="F5" s="7">
        <v>122</v>
      </c>
      <c r="G5" s="2">
        <f>(Table1[Terpakai]+Table1[[#This Row],[Staging]])/Table1[Qty Lokasi]</f>
        <v>0.83908329226219813</v>
      </c>
      <c r="H5" s="2">
        <f>Table1[Max]-Table1[Occupancy]</f>
        <v>0.16091670773780187</v>
      </c>
      <c r="I5" s="2">
        <v>1</v>
      </c>
      <c r="K5" s="1" t="s">
        <v>10</v>
      </c>
      <c r="L5" s="1">
        <v>43589</v>
      </c>
      <c r="M5" s="7">
        <v>170</v>
      </c>
      <c r="N5" s="7">
        <v>96</v>
      </c>
      <c r="O5" s="7">
        <v>56</v>
      </c>
      <c r="P5" s="7">
        <v>18</v>
      </c>
      <c r="Q5" s="2">
        <f>(Table13[Terpakai]+Table13[[#This Row],[Staging]])/Table13[Qty Lokasi]</f>
        <v>0.6705882352941176</v>
      </c>
      <c r="R5" s="2">
        <f>Table13[Max]-Table13[Occupancy]</f>
        <v>0.3294117647058824</v>
      </c>
      <c r="S5" s="2">
        <v>1</v>
      </c>
      <c r="U5" s="3" t="s">
        <v>11</v>
      </c>
      <c r="V5" s="1">
        <v>43589</v>
      </c>
      <c r="W5" s="7">
        <v>412</v>
      </c>
      <c r="X5" s="7">
        <v>279</v>
      </c>
      <c r="Y5" s="7">
        <v>40</v>
      </c>
      <c r="Z5" s="7">
        <v>93</v>
      </c>
      <c r="AA5" s="2">
        <f>(Table7[Terpakai]+Table7[[#This Row],[Staging]])/Table7[Qty Lokasi]</f>
        <v>0.90291262135922334</v>
      </c>
      <c r="AB5" s="2">
        <f>Table7[Max]-Table7[Occupancy]</f>
        <v>9.7087378640776656E-2</v>
      </c>
      <c r="AC5" s="2">
        <v>1</v>
      </c>
      <c r="AE5" s="26">
        <f>SUM(Table1[[#This Row],[Qty Lokasi]]+Table13[[#This Row],[Qty Lokasi]]+Table7[[#This Row],[Qty Lokasi]])</f>
        <v>4640</v>
      </c>
      <c r="AF5" s="26">
        <f>SUM(Table1[[#This Row],[Available]]+Table13[[#This Row],[Available]]+Table7[[#This Row],[Available]])</f>
        <v>749</v>
      </c>
      <c r="AG5" s="27">
        <f>1-Table3[Available]/Table3[Total]</f>
        <v>0.83857758620689649</v>
      </c>
    </row>
    <row r="6" spans="1:33">
      <c r="A6" s="1" t="s">
        <v>9</v>
      </c>
      <c r="B6" s="1">
        <v>43591</v>
      </c>
      <c r="C6" s="7">
        <v>4058</v>
      </c>
      <c r="D6" s="7">
        <v>3168</v>
      </c>
      <c r="E6" s="7">
        <v>845</v>
      </c>
      <c r="F6" s="7">
        <v>45</v>
      </c>
      <c r="G6" s="2">
        <f>(Table1[Terpakai]+Table1[[#This Row],[Staging]])/Table1[Qty Lokasi]</f>
        <v>0.79176934450468206</v>
      </c>
      <c r="H6" s="2">
        <f>Table1[Max]-Table1[Occupancy]</f>
        <v>0.20823065549531794</v>
      </c>
      <c r="I6" s="2">
        <v>1</v>
      </c>
      <c r="K6" s="1" t="s">
        <v>10</v>
      </c>
      <c r="L6" s="1">
        <v>43591</v>
      </c>
      <c r="M6" s="7">
        <v>170</v>
      </c>
      <c r="N6" s="7">
        <v>94</v>
      </c>
      <c r="O6" s="7">
        <v>76</v>
      </c>
      <c r="P6" s="7">
        <v>0</v>
      </c>
      <c r="Q6" s="2">
        <f>(Table13[Terpakai]+Table13[[#This Row],[Staging]])/Table13[Qty Lokasi]</f>
        <v>0.55294117647058827</v>
      </c>
      <c r="R6" s="2">
        <f>Table13[Max]-Table13[Occupancy]</f>
        <v>0.44705882352941173</v>
      </c>
      <c r="S6" s="2">
        <v>1</v>
      </c>
      <c r="U6" s="3" t="s">
        <v>11</v>
      </c>
      <c r="V6" s="1">
        <v>43591</v>
      </c>
      <c r="W6" s="7">
        <v>412</v>
      </c>
      <c r="X6" s="7">
        <v>328</v>
      </c>
      <c r="Y6" s="7">
        <v>-14</v>
      </c>
      <c r="Z6" s="7">
        <v>98</v>
      </c>
      <c r="AA6" s="2">
        <f>(Table7[Terpakai]+Table7[[#This Row],[Staging]])/Table7[Qty Lokasi]</f>
        <v>1.0339805825242718</v>
      </c>
      <c r="AB6" s="2">
        <f>Table7[Max]-Table7[Occupancy]</f>
        <v>-3.398058252427183E-2</v>
      </c>
      <c r="AC6" s="2">
        <v>1</v>
      </c>
      <c r="AE6" s="26">
        <f>SUM(Table1[[#This Row],[Qty Lokasi]]+Table13[[#This Row],[Qty Lokasi]]+Table7[[#This Row],[Qty Lokasi]])</f>
        <v>4640</v>
      </c>
      <c r="AF6" s="26">
        <f>SUM(Table1[[#This Row],[Available]]+Table13[[#This Row],[Available]]+Table7[[#This Row],[Available]])</f>
        <v>907</v>
      </c>
      <c r="AG6" s="27">
        <f>1-Table3[Available]/Table3[Total]</f>
        <v>0.80452586206896548</v>
      </c>
    </row>
    <row r="7" spans="1:33">
      <c r="A7" s="1" t="s">
        <v>9</v>
      </c>
      <c r="B7" s="1">
        <v>43592</v>
      </c>
      <c r="C7" s="7">
        <v>4058</v>
      </c>
      <c r="D7" s="7">
        <v>3173</v>
      </c>
      <c r="E7" s="7">
        <v>778</v>
      </c>
      <c r="F7" s="7">
        <v>107</v>
      </c>
      <c r="G7" s="2">
        <f>(Table1[Terpakai]+Table1[[#This Row],[Staging]])/Table1[Qty Lokasi]</f>
        <v>0.80827994085756527</v>
      </c>
      <c r="H7" s="2">
        <f>Table1[Max]-Table1[Occupancy]</f>
        <v>0.19172005914243473</v>
      </c>
      <c r="I7" s="2">
        <v>1</v>
      </c>
      <c r="K7" s="1" t="s">
        <v>10</v>
      </c>
      <c r="L7" s="1">
        <v>43592</v>
      </c>
      <c r="M7" s="7">
        <v>170</v>
      </c>
      <c r="N7" s="7">
        <v>70</v>
      </c>
      <c r="O7" s="7">
        <v>55</v>
      </c>
      <c r="P7" s="7">
        <v>45</v>
      </c>
      <c r="Q7" s="2">
        <f>(Table13[Terpakai]+Table13[[#This Row],[Staging]])/Table13[Qty Lokasi]</f>
        <v>0.67647058823529416</v>
      </c>
      <c r="R7" s="2">
        <f>Table13[Max]-Table13[Occupancy]</f>
        <v>0.32352941176470584</v>
      </c>
      <c r="S7" s="2">
        <v>1</v>
      </c>
      <c r="U7" s="3" t="s">
        <v>11</v>
      </c>
      <c r="V7" s="1">
        <v>43592</v>
      </c>
      <c r="W7" s="7">
        <v>412</v>
      </c>
      <c r="X7" s="7">
        <v>311</v>
      </c>
      <c r="Y7" s="7">
        <v>29</v>
      </c>
      <c r="Z7" s="7">
        <v>72</v>
      </c>
      <c r="AA7" s="2">
        <f>(Table7[Terpakai]+Table7[[#This Row],[Staging]])/Table7[Qty Lokasi]</f>
        <v>0.92961165048543692</v>
      </c>
      <c r="AB7" s="2">
        <f>Table7[Max]-Table7[Occupancy]</f>
        <v>7.0388349514563076E-2</v>
      </c>
      <c r="AC7" s="2">
        <v>1</v>
      </c>
      <c r="AE7" s="26">
        <f>SUM(Table1[[#This Row],[Qty Lokasi]]+Table13[[#This Row],[Qty Lokasi]]+Table7[[#This Row],[Qty Lokasi]])</f>
        <v>4640</v>
      </c>
      <c r="AF7" s="26">
        <f>SUM(Table1[[#This Row],[Available]]+Table13[[#This Row],[Available]]+Table7[[#This Row],[Available]])</f>
        <v>862</v>
      </c>
      <c r="AG7" s="27">
        <f>1-Table3[Available]/Table3[Total]</f>
        <v>0.81422413793103443</v>
      </c>
    </row>
    <row r="8" spans="1:33">
      <c r="A8" s="1" t="s">
        <v>9</v>
      </c>
      <c r="B8" s="1">
        <v>43593</v>
      </c>
      <c r="C8" s="7">
        <v>4058</v>
      </c>
      <c r="D8" s="7">
        <v>3135</v>
      </c>
      <c r="E8" s="7">
        <v>708</v>
      </c>
      <c r="F8" s="7">
        <v>215</v>
      </c>
      <c r="G8" s="2">
        <f>(Table1[Terpakai]+Table1[[#This Row],[Staging]])/Table1[Qty Lokasi]</f>
        <v>0.82552981764415967</v>
      </c>
      <c r="H8" s="2">
        <f>Table1[Max]-Table1[Occupancy]</f>
        <v>0.17447018235584033</v>
      </c>
      <c r="I8" s="2">
        <v>1</v>
      </c>
      <c r="K8" s="1" t="s">
        <v>10</v>
      </c>
      <c r="L8" s="1">
        <v>43593</v>
      </c>
      <c r="M8" s="7">
        <v>170</v>
      </c>
      <c r="N8" s="7">
        <v>99</v>
      </c>
      <c r="O8" s="7">
        <v>7</v>
      </c>
      <c r="P8" s="7">
        <v>64</v>
      </c>
      <c r="Q8" s="2">
        <f>(Table13[Terpakai]+Table13[[#This Row],[Staging]])/Table13[Qty Lokasi]</f>
        <v>0.95882352941176474</v>
      </c>
      <c r="R8" s="2">
        <f>Table13[Max]-Table13[Occupancy]</f>
        <v>4.1176470588235259E-2</v>
      </c>
      <c r="S8" s="2">
        <v>1</v>
      </c>
      <c r="U8" s="3" t="s">
        <v>11</v>
      </c>
      <c r="V8" s="1">
        <v>43593</v>
      </c>
      <c r="W8" s="7">
        <v>412</v>
      </c>
      <c r="X8" s="7">
        <v>287</v>
      </c>
      <c r="Y8" s="7">
        <v>104</v>
      </c>
      <c r="Z8" s="7">
        <v>21</v>
      </c>
      <c r="AA8" s="2">
        <f>(Table7[Terpakai]+Table7[[#This Row],[Staging]])/Table7[Qty Lokasi]</f>
        <v>0.74757281553398058</v>
      </c>
      <c r="AB8" s="2">
        <f>Table7[Max]-Table7[Occupancy]</f>
        <v>0.25242718446601942</v>
      </c>
      <c r="AC8" s="2">
        <v>1</v>
      </c>
      <c r="AE8" s="26">
        <f>SUM(Table1[[#This Row],[Qty Lokasi]]+Table13[[#This Row],[Qty Lokasi]]+Table7[[#This Row],[Qty Lokasi]])</f>
        <v>4640</v>
      </c>
      <c r="AF8" s="26">
        <f>SUM(Table1[[#This Row],[Available]]+Table13[[#This Row],[Available]]+Table7[[#This Row],[Available]])</f>
        <v>819</v>
      </c>
      <c r="AG8" s="27">
        <f>1-Table3[Available]/Table3[Total]</f>
        <v>0.82349137931034488</v>
      </c>
    </row>
    <row r="9" spans="1:33">
      <c r="A9" s="1" t="s">
        <v>9</v>
      </c>
      <c r="B9" s="1">
        <v>43594</v>
      </c>
      <c r="C9" s="7">
        <v>4058</v>
      </c>
      <c r="D9" s="7">
        <v>3162</v>
      </c>
      <c r="E9" s="7">
        <v>690</v>
      </c>
      <c r="F9" s="7">
        <v>206</v>
      </c>
      <c r="G9" s="2">
        <f>(Table1[Terpakai]+Table1[[#This Row],[Staging]])/Table1[Qty Lokasi]</f>
        <v>0.82996550024642679</v>
      </c>
      <c r="H9" s="2">
        <f>Table1[Max]-Table1[Occupancy]</f>
        <v>0.17003449975357321</v>
      </c>
      <c r="I9" s="2">
        <v>1</v>
      </c>
      <c r="K9" s="1" t="s">
        <v>10</v>
      </c>
      <c r="L9" s="1">
        <v>43594</v>
      </c>
      <c r="M9" s="7">
        <v>170</v>
      </c>
      <c r="N9" s="7">
        <v>134</v>
      </c>
      <c r="O9" s="7">
        <v>24</v>
      </c>
      <c r="P9" s="7">
        <v>12</v>
      </c>
      <c r="Q9" s="2">
        <f>(Table13[Terpakai]+Table13[[#This Row],[Staging]])/Table13[Qty Lokasi]</f>
        <v>0.85882352941176465</v>
      </c>
      <c r="R9" s="2">
        <f>Table13[Max]-Table13[Occupancy]</f>
        <v>0.14117647058823535</v>
      </c>
      <c r="S9" s="2">
        <v>1</v>
      </c>
      <c r="U9" s="3" t="s">
        <v>11</v>
      </c>
      <c r="V9" s="1">
        <v>43594</v>
      </c>
      <c r="W9" s="7">
        <v>412</v>
      </c>
      <c r="X9" s="7">
        <v>227</v>
      </c>
      <c r="Y9" s="7">
        <v>101</v>
      </c>
      <c r="Z9" s="7">
        <v>84</v>
      </c>
      <c r="AA9" s="2">
        <f>(Table7[Terpakai]+Table7[[#This Row],[Staging]])/Table7[Qty Lokasi]</f>
        <v>0.75485436893203883</v>
      </c>
      <c r="AB9" s="2">
        <f>Table7[Max]-Table7[Occupancy]</f>
        <v>0.24514563106796117</v>
      </c>
      <c r="AC9" s="2">
        <v>1</v>
      </c>
      <c r="AE9" s="26">
        <f>SUM(Table1[[#This Row],[Qty Lokasi]]+Table13[[#This Row],[Qty Lokasi]]+Table7[[#This Row],[Qty Lokasi]])</f>
        <v>4640</v>
      </c>
      <c r="AF9" s="26">
        <f>SUM(Table1[[#This Row],[Available]]+Table13[[#This Row],[Available]]+Table7[[#This Row],[Available]])</f>
        <v>815</v>
      </c>
      <c r="AG9" s="27">
        <f>1-Table3[Available]/Table3[Total]</f>
        <v>0.8243534482758621</v>
      </c>
    </row>
    <row r="10" spans="1:33">
      <c r="A10" s="1" t="s">
        <v>9</v>
      </c>
      <c r="B10" s="1">
        <v>43595</v>
      </c>
      <c r="C10" s="7">
        <v>4058</v>
      </c>
      <c r="D10" s="7">
        <v>3185</v>
      </c>
      <c r="E10" s="7">
        <v>671</v>
      </c>
      <c r="F10" s="7">
        <v>202</v>
      </c>
      <c r="G10" s="2">
        <f>(Table1[Terpakai]+Table1[[#This Row],[Staging]])/Table1[Qty Lokasi]</f>
        <v>0.83464760965993101</v>
      </c>
      <c r="H10" s="2">
        <f>Table1[Max]-Table1[Occupancy]</f>
        <v>0.16535239034006899</v>
      </c>
      <c r="I10" s="2">
        <v>1</v>
      </c>
      <c r="K10" s="1" t="s">
        <v>10</v>
      </c>
      <c r="L10" s="1">
        <v>43595</v>
      </c>
      <c r="M10" s="7">
        <v>170</v>
      </c>
      <c r="N10" s="7">
        <v>117</v>
      </c>
      <c r="O10" s="7">
        <v>39</v>
      </c>
      <c r="P10" s="7">
        <v>14</v>
      </c>
      <c r="Q10" s="2">
        <f>(Table13[Terpakai]+Table13[[#This Row],[Staging]])/Table13[Qty Lokasi]</f>
        <v>0.77058823529411768</v>
      </c>
      <c r="R10" s="2">
        <f>Table13[Max]-Table13[Occupancy]</f>
        <v>0.22941176470588232</v>
      </c>
      <c r="S10" s="2">
        <v>1</v>
      </c>
      <c r="U10" s="3" t="s">
        <v>11</v>
      </c>
      <c r="V10" s="1">
        <v>43595</v>
      </c>
      <c r="W10" s="7">
        <v>412</v>
      </c>
      <c r="X10" s="7">
        <v>225</v>
      </c>
      <c r="Y10" s="7">
        <v>155</v>
      </c>
      <c r="Z10" s="7">
        <v>32</v>
      </c>
      <c r="AA10" s="2">
        <f>(Table7[Terpakai]+Table7[[#This Row],[Staging]])/Table7[Qty Lokasi]</f>
        <v>0.62378640776699024</v>
      </c>
      <c r="AB10" s="2">
        <f>Table7[Max]-Table7[Occupancy]</f>
        <v>0.37621359223300976</v>
      </c>
      <c r="AC10" s="2">
        <v>1</v>
      </c>
      <c r="AE10" s="26">
        <f>SUM(Table1[[#This Row],[Qty Lokasi]]+Table13[[#This Row],[Qty Lokasi]]+Table7[[#This Row],[Qty Lokasi]])</f>
        <v>4640</v>
      </c>
      <c r="AF10" s="26">
        <f>SUM(Table1[[#This Row],[Available]]+Table13[[#This Row],[Available]]+Table7[[#This Row],[Available]])</f>
        <v>865</v>
      </c>
      <c r="AG10" s="27">
        <f>1-Table3[Available]/Table3[Total]</f>
        <v>0.81357758620689657</v>
      </c>
    </row>
    <row r="11" spans="1:33">
      <c r="A11" s="1" t="s">
        <v>9</v>
      </c>
      <c r="B11" s="1">
        <v>43598</v>
      </c>
      <c r="C11" s="7">
        <v>4058</v>
      </c>
      <c r="D11" s="7">
        <v>3172</v>
      </c>
      <c r="E11" s="7">
        <v>798</v>
      </c>
      <c r="F11" s="7">
        <v>88</v>
      </c>
      <c r="G11" s="2">
        <f>(Table1[Terpakai]+Table1[[#This Row],[Staging]])/Table1[Qty Lokasi]</f>
        <v>0.80335140463282406</v>
      </c>
      <c r="H11" s="2">
        <f>Table1[Max]-Table1[Occupancy]</f>
        <v>0.19664859536717594</v>
      </c>
      <c r="I11" s="2">
        <v>1</v>
      </c>
      <c r="K11" s="1" t="s">
        <v>10</v>
      </c>
      <c r="L11" s="1">
        <v>43598</v>
      </c>
      <c r="M11" s="7">
        <v>170</v>
      </c>
      <c r="N11" s="7">
        <v>129</v>
      </c>
      <c r="O11" s="7">
        <v>41</v>
      </c>
      <c r="P11" s="7">
        <v>0</v>
      </c>
      <c r="Q11" s="2">
        <f>(Table13[Terpakai]+Table13[[#This Row],[Staging]])/Table13[Qty Lokasi]</f>
        <v>0.75882352941176467</v>
      </c>
      <c r="R11" s="2">
        <f>Table13[Max]-Table13[Occupancy]</f>
        <v>0.24117647058823533</v>
      </c>
      <c r="S11" s="2">
        <v>1</v>
      </c>
      <c r="U11" s="3" t="s">
        <v>11</v>
      </c>
      <c r="V11" s="1">
        <v>43598</v>
      </c>
      <c r="W11" s="7">
        <v>412</v>
      </c>
      <c r="X11" s="7">
        <v>219</v>
      </c>
      <c r="Y11" s="7">
        <v>114</v>
      </c>
      <c r="Z11" s="7">
        <v>79</v>
      </c>
      <c r="AA11" s="2">
        <f>(Table7[Terpakai]+Table7[[#This Row],[Staging]])/Table7[Qty Lokasi]</f>
        <v>0.72330097087378642</v>
      </c>
      <c r="AB11" s="2">
        <f>Table7[Max]-Table7[Occupancy]</f>
        <v>0.27669902912621358</v>
      </c>
      <c r="AC11" s="2">
        <v>1</v>
      </c>
      <c r="AE11" s="26">
        <f>SUM(Table1[[#This Row],[Qty Lokasi]]+Table13[[#This Row],[Qty Lokasi]]+Table7[[#This Row],[Qty Lokasi]])</f>
        <v>4640</v>
      </c>
      <c r="AF11" s="26">
        <f>SUM(Table1[[#This Row],[Available]]+Table13[[#This Row],[Available]]+Table7[[#This Row],[Available]])</f>
        <v>953</v>
      </c>
      <c r="AG11" s="27">
        <f>1-Table3[Available]/Table3[Total]</f>
        <v>0.79461206896551728</v>
      </c>
    </row>
    <row r="12" spans="1:33">
      <c r="A12" s="1" t="s">
        <v>9</v>
      </c>
      <c r="B12" s="1">
        <v>43599</v>
      </c>
      <c r="C12" s="7">
        <v>4058</v>
      </c>
      <c r="D12" s="7">
        <v>3165</v>
      </c>
      <c r="E12" s="7">
        <v>848</v>
      </c>
      <c r="F12" s="7">
        <v>45</v>
      </c>
      <c r="G12" s="2">
        <f>(Table1[Terpakai]+Table1[[#This Row],[Staging]])/Table1[Qty Lokasi]</f>
        <v>0.79103006407097087</v>
      </c>
      <c r="H12" s="2">
        <f>Table1[Max]-Table1[Occupancy]</f>
        <v>0.20896993592902913</v>
      </c>
      <c r="I12" s="2">
        <v>1</v>
      </c>
      <c r="K12" s="1" t="s">
        <v>10</v>
      </c>
      <c r="L12" s="1">
        <v>43599</v>
      </c>
      <c r="M12" s="7">
        <v>170</v>
      </c>
      <c r="N12" s="7">
        <v>110</v>
      </c>
      <c r="O12" s="7">
        <v>-13</v>
      </c>
      <c r="P12" s="7">
        <v>73</v>
      </c>
      <c r="Q12" s="2">
        <f>(Table13[Terpakai]+Table13[[#This Row],[Staging]])/Table13[Qty Lokasi]</f>
        <v>1.0764705882352941</v>
      </c>
      <c r="R12" s="2">
        <f>Table13[Max]-Table13[Occupancy]</f>
        <v>-7.6470588235294068E-2</v>
      </c>
      <c r="S12" s="2">
        <v>1</v>
      </c>
      <c r="U12" s="3" t="s">
        <v>11</v>
      </c>
      <c r="V12" s="1">
        <v>43599</v>
      </c>
      <c r="W12" s="7">
        <v>412</v>
      </c>
      <c r="X12" s="7">
        <v>232</v>
      </c>
      <c r="Y12" s="7">
        <v>67</v>
      </c>
      <c r="Z12" s="7">
        <v>113</v>
      </c>
      <c r="AA12" s="2">
        <f>(Table7[Terpakai]+Table7[[#This Row],[Staging]])/Table7[Qty Lokasi]</f>
        <v>0.83737864077669899</v>
      </c>
      <c r="AB12" s="2">
        <f>Table7[Max]-Table7[Occupancy]</f>
        <v>0.16262135922330101</v>
      </c>
      <c r="AC12" s="2">
        <v>1</v>
      </c>
      <c r="AE12" s="26">
        <f>SUM(Table1[[#This Row],[Qty Lokasi]]+Table13[[#This Row],[Qty Lokasi]]+Table7[[#This Row],[Qty Lokasi]])</f>
        <v>4640</v>
      </c>
      <c r="AF12" s="26">
        <f>SUM(Table1[[#This Row],[Available]]+Table13[[#This Row],[Available]]+Table7[[#This Row],[Available]])</f>
        <v>902</v>
      </c>
      <c r="AG12" s="27">
        <f>1-Table3[Available]/Table3[Total]</f>
        <v>0.80560344827586206</v>
      </c>
    </row>
    <row r="13" spans="1:33">
      <c r="A13" s="1" t="s">
        <v>9</v>
      </c>
      <c r="B13" s="1">
        <v>43600</v>
      </c>
      <c r="C13" s="7">
        <v>4058</v>
      </c>
      <c r="D13" s="7">
        <v>3134</v>
      </c>
      <c r="E13" s="7">
        <v>721</v>
      </c>
      <c r="F13" s="7">
        <v>203</v>
      </c>
      <c r="G13" s="2">
        <f>(Table1[Terpakai]+Table1[[#This Row],[Staging]])/Table1[Qty Lokasi]</f>
        <v>0.82232626909807782</v>
      </c>
      <c r="H13" s="2">
        <f>Table1[Max]-Table1[Occupancy]</f>
        <v>0.17767373090192218</v>
      </c>
      <c r="I13" s="2">
        <v>1</v>
      </c>
      <c r="K13" s="1" t="s">
        <v>10</v>
      </c>
      <c r="L13" s="1">
        <v>43600</v>
      </c>
      <c r="M13" s="7">
        <v>170</v>
      </c>
      <c r="N13" s="7">
        <v>137</v>
      </c>
      <c r="O13" s="7">
        <v>31</v>
      </c>
      <c r="P13" s="7">
        <v>2</v>
      </c>
      <c r="Q13" s="2">
        <f>(Table13[Terpakai]+Table13[[#This Row],[Staging]])/Table13[Qty Lokasi]</f>
        <v>0.81764705882352939</v>
      </c>
      <c r="R13" s="2">
        <f>Table13[Max]-Table13[Occupancy]</f>
        <v>0.18235294117647061</v>
      </c>
      <c r="S13" s="2">
        <v>1</v>
      </c>
      <c r="U13" s="3" t="s">
        <v>11</v>
      </c>
      <c r="V13" s="1">
        <v>43600</v>
      </c>
      <c r="W13" s="7">
        <v>412</v>
      </c>
      <c r="X13" s="7">
        <v>264</v>
      </c>
      <c r="Y13" s="7">
        <v>78</v>
      </c>
      <c r="Z13" s="7">
        <v>70</v>
      </c>
      <c r="AA13" s="2">
        <f>(Table7[Terpakai]+Table7[[#This Row],[Staging]])/Table7[Qty Lokasi]</f>
        <v>0.81067961165048541</v>
      </c>
      <c r="AB13" s="2">
        <f>Table7[Max]-Table7[Occupancy]</f>
        <v>0.18932038834951459</v>
      </c>
      <c r="AC13" s="2">
        <v>1</v>
      </c>
      <c r="AE13" s="26">
        <f>SUM(Table1[[#This Row],[Qty Lokasi]]+Table13[[#This Row],[Qty Lokasi]]+Table7[[#This Row],[Qty Lokasi]])</f>
        <v>4640</v>
      </c>
      <c r="AF13" s="26">
        <f>SUM(Table1[[#This Row],[Available]]+Table13[[#This Row],[Available]]+Table7[[#This Row],[Available]])</f>
        <v>830</v>
      </c>
      <c r="AG13" s="27">
        <f>1-Table3[Available]/Table3[Total]</f>
        <v>0.82112068965517238</v>
      </c>
    </row>
    <row r="14" spans="1:33">
      <c r="A14" s="1" t="s">
        <v>9</v>
      </c>
      <c r="B14" s="1">
        <v>43601</v>
      </c>
      <c r="C14" s="7">
        <v>4058</v>
      </c>
      <c r="D14" s="7">
        <v>3153</v>
      </c>
      <c r="E14" s="7">
        <v>760</v>
      </c>
      <c r="F14" s="7">
        <v>145</v>
      </c>
      <c r="G14" s="2">
        <f>(Table1[Terpakai]+Table1[[#This Row],[Staging]])/Table1[Qty Lokasi]</f>
        <v>0.81271562345983239</v>
      </c>
      <c r="H14" s="2">
        <f>Table1[Max]-Table1[Occupancy]</f>
        <v>0.18728437654016761</v>
      </c>
      <c r="I14" s="2">
        <v>1</v>
      </c>
      <c r="K14" s="1" t="s">
        <v>10</v>
      </c>
      <c r="L14" s="1">
        <v>43601</v>
      </c>
      <c r="M14" s="7">
        <v>170</v>
      </c>
      <c r="N14" s="7">
        <v>129</v>
      </c>
      <c r="O14" s="7">
        <v>24</v>
      </c>
      <c r="P14" s="7">
        <v>17</v>
      </c>
      <c r="Q14" s="2">
        <f>(Table13[Terpakai]+Table13[[#This Row],[Staging]])/Table13[Qty Lokasi]</f>
        <v>0.85882352941176465</v>
      </c>
      <c r="R14" s="2">
        <f>Table13[Max]-Table13[Occupancy]</f>
        <v>0.14117647058823535</v>
      </c>
      <c r="S14" s="2">
        <v>1</v>
      </c>
      <c r="U14" s="3" t="s">
        <v>11</v>
      </c>
      <c r="V14" s="1">
        <v>43601</v>
      </c>
      <c r="W14" s="7">
        <v>412</v>
      </c>
      <c r="X14" s="7">
        <v>247</v>
      </c>
      <c r="Y14" s="7">
        <v>73</v>
      </c>
      <c r="Z14" s="7">
        <v>92</v>
      </c>
      <c r="AA14" s="2">
        <f>(Table7[Terpakai]+Table7[[#This Row],[Staging]])/Table7[Qty Lokasi]</f>
        <v>0.82281553398058249</v>
      </c>
      <c r="AB14" s="2">
        <f>Table7[Max]-Table7[Occupancy]</f>
        <v>0.17718446601941751</v>
      </c>
      <c r="AC14" s="2">
        <v>1</v>
      </c>
      <c r="AE14" s="26">
        <f>SUM(Table1[[#This Row],[Qty Lokasi]]+Table13[[#This Row],[Qty Lokasi]]+Table7[[#This Row],[Qty Lokasi]])</f>
        <v>4640</v>
      </c>
      <c r="AF14" s="26">
        <f>SUM(Table1[[#This Row],[Available]]+Table13[[#This Row],[Available]]+Table7[[#This Row],[Available]])</f>
        <v>857</v>
      </c>
      <c r="AG14" s="27">
        <f>1-Table3[Available]/Table3[Total]</f>
        <v>0.81530172413793101</v>
      </c>
    </row>
    <row r="15" spans="1:33">
      <c r="A15" s="1" t="s">
        <v>9</v>
      </c>
      <c r="B15" s="1">
        <v>43602</v>
      </c>
      <c r="C15" s="7">
        <v>4058</v>
      </c>
      <c r="D15" s="7">
        <v>3116</v>
      </c>
      <c r="E15" s="7">
        <v>889</v>
      </c>
      <c r="F15" s="7">
        <v>53</v>
      </c>
      <c r="G15" s="2">
        <f>(Table1[Terpakai]+Table1[[#This Row],[Staging]])/Table1[Qty Lokasi]</f>
        <v>0.78092656481025136</v>
      </c>
      <c r="H15" s="2">
        <f>Table1[Max]-Table1[Occupancy]</f>
        <v>0.21907343518974864</v>
      </c>
      <c r="I15" s="2">
        <v>1</v>
      </c>
      <c r="K15" s="1" t="s">
        <v>10</v>
      </c>
      <c r="L15" s="1">
        <v>43602</v>
      </c>
      <c r="M15" s="7">
        <v>170</v>
      </c>
      <c r="N15" s="7">
        <v>126</v>
      </c>
      <c r="O15" s="7">
        <v>42</v>
      </c>
      <c r="P15" s="7">
        <v>2</v>
      </c>
      <c r="Q15" s="2">
        <f>(Table13[Terpakai]+Table13[[#This Row],[Staging]])/Table13[Qty Lokasi]</f>
        <v>0.75294117647058822</v>
      </c>
      <c r="R15" s="2">
        <f>Table13[Max]-Table13[Occupancy]</f>
        <v>0.24705882352941178</v>
      </c>
      <c r="S15" s="2">
        <v>1</v>
      </c>
      <c r="U15" s="3" t="s">
        <v>11</v>
      </c>
      <c r="V15" s="1">
        <v>43602</v>
      </c>
      <c r="W15" s="7">
        <v>412</v>
      </c>
      <c r="X15" s="7">
        <v>242</v>
      </c>
      <c r="Y15" s="7">
        <v>152</v>
      </c>
      <c r="Z15" s="7">
        <v>18</v>
      </c>
      <c r="AA15" s="2">
        <f>(Table7[Terpakai]+Table7[[#This Row],[Staging]])/Table7[Qty Lokasi]</f>
        <v>0.6310679611650486</v>
      </c>
      <c r="AB15" s="2">
        <f>Table7[Max]-Table7[Occupancy]</f>
        <v>0.3689320388349514</v>
      </c>
      <c r="AC15" s="2">
        <v>1</v>
      </c>
      <c r="AE15" s="26">
        <f>SUM(Table1[[#This Row],[Qty Lokasi]]+Table13[[#This Row],[Qty Lokasi]]+Table7[[#This Row],[Qty Lokasi]])</f>
        <v>4640</v>
      </c>
      <c r="AF15" s="26">
        <f>SUM(Table1[[#This Row],[Available]]+Table13[[#This Row],[Available]]+Table7[[#This Row],[Available]])</f>
        <v>1083</v>
      </c>
      <c r="AG15" s="27">
        <f>1-Table3[Available]/Table3[Total]</f>
        <v>0.7665948275862069</v>
      </c>
    </row>
    <row r="16" spans="1:33">
      <c r="A16" s="1" t="s">
        <v>9</v>
      </c>
      <c r="B16" s="1">
        <v>43603</v>
      </c>
      <c r="C16" s="7">
        <v>3888</v>
      </c>
      <c r="D16" s="7">
        <v>2922</v>
      </c>
      <c r="E16" s="7">
        <v>941</v>
      </c>
      <c r="F16" s="7">
        <v>25</v>
      </c>
      <c r="G16" s="2">
        <f>(Table1[Terpakai]+Table1[[#This Row],[Staging]])/Table1[Qty Lokasi]</f>
        <v>0.75797325102880664</v>
      </c>
      <c r="H16" s="2">
        <f>Table1[Max]-Table1[Occupancy]</f>
        <v>0.24202674897119336</v>
      </c>
      <c r="I16" s="2">
        <v>1</v>
      </c>
      <c r="K16" s="1" t="s">
        <v>10</v>
      </c>
      <c r="L16" s="1">
        <v>43603</v>
      </c>
      <c r="M16" s="7">
        <v>340</v>
      </c>
      <c r="N16" s="7">
        <v>245</v>
      </c>
      <c r="O16" s="7">
        <v>78</v>
      </c>
      <c r="P16" s="7">
        <v>17</v>
      </c>
      <c r="Q16" s="2">
        <f>(Table13[Terpakai]+Table13[[#This Row],[Staging]])/Table13[Qty Lokasi]</f>
        <v>0.77058823529411768</v>
      </c>
      <c r="R16" s="2">
        <f>Table13[Max]-Table13[Occupancy]</f>
        <v>0.22941176470588232</v>
      </c>
      <c r="S16" s="2">
        <v>1</v>
      </c>
      <c r="U16" s="3" t="s">
        <v>11</v>
      </c>
      <c r="V16" s="1">
        <v>43603</v>
      </c>
      <c r="W16" s="7">
        <v>412</v>
      </c>
      <c r="X16" s="7">
        <v>230</v>
      </c>
      <c r="Y16" s="7">
        <v>162</v>
      </c>
      <c r="Z16" s="7">
        <v>20</v>
      </c>
      <c r="AA16" s="2">
        <f>(Table7[Terpakai]+Table7[[#This Row],[Staging]])/Table7[Qty Lokasi]</f>
        <v>0.60679611650485432</v>
      </c>
      <c r="AB16" s="2">
        <f>Table7[Max]-Table7[Occupancy]</f>
        <v>0.39320388349514568</v>
      </c>
      <c r="AC16" s="2">
        <v>1</v>
      </c>
      <c r="AE16" s="26">
        <f>SUM(Table1[[#This Row],[Qty Lokasi]]+Table13[[#This Row],[Qty Lokasi]]+Table7[[#This Row],[Qty Lokasi]])</f>
        <v>4640</v>
      </c>
      <c r="AF16" s="26">
        <f>SUM(Table1[[#This Row],[Available]]+Table13[[#This Row],[Available]]+Table7[[#This Row],[Available]])</f>
        <v>1181</v>
      </c>
      <c r="AG16" s="27">
        <f>1-Table3[Available]/Table3[Total]</f>
        <v>0.74547413793103456</v>
      </c>
    </row>
    <row r="17" spans="1:33">
      <c r="A17" s="1" t="s">
        <v>9</v>
      </c>
      <c r="B17" s="1">
        <v>43605</v>
      </c>
      <c r="C17" s="7">
        <v>3888</v>
      </c>
      <c r="D17" s="7">
        <v>2913</v>
      </c>
      <c r="E17" s="7">
        <v>960</v>
      </c>
      <c r="F17" s="7">
        <v>15</v>
      </c>
      <c r="G17" s="2">
        <f>(Table1[Terpakai]+Table1[[#This Row],[Staging]])/Table1[Qty Lokasi]</f>
        <v>0.75308641975308643</v>
      </c>
      <c r="H17" s="2">
        <f>Table1[Max]-Table1[Occupancy]</f>
        <v>0.24691358024691357</v>
      </c>
      <c r="I17" s="2">
        <v>1</v>
      </c>
      <c r="K17" s="1" t="s">
        <v>10</v>
      </c>
      <c r="L17" s="1">
        <v>43605</v>
      </c>
      <c r="M17" s="7">
        <v>340</v>
      </c>
      <c r="N17" s="7">
        <v>257</v>
      </c>
      <c r="O17" s="7">
        <v>83</v>
      </c>
      <c r="P17" s="7">
        <v>0</v>
      </c>
      <c r="Q17" s="2">
        <f>(Table13[Terpakai]+Table13[[#This Row],[Staging]])/Table13[Qty Lokasi]</f>
        <v>0.75588235294117645</v>
      </c>
      <c r="R17" s="2">
        <f>Table13[Max]-Table13[Occupancy]</f>
        <v>0.24411764705882355</v>
      </c>
      <c r="S17" s="2">
        <v>1</v>
      </c>
      <c r="U17" s="3" t="s">
        <v>11</v>
      </c>
      <c r="V17" s="1">
        <v>43605</v>
      </c>
      <c r="W17" s="7">
        <v>412</v>
      </c>
      <c r="X17" s="7">
        <v>258</v>
      </c>
      <c r="Y17" s="7">
        <v>42</v>
      </c>
      <c r="Z17" s="7">
        <v>112</v>
      </c>
      <c r="AA17" s="2">
        <f>(Table7[Terpakai]+Table7[[#This Row],[Staging]])/Table7[Qty Lokasi]</f>
        <v>0.89805825242718451</v>
      </c>
      <c r="AB17" s="2">
        <f>Table7[Max]-Table7[Occupancy]</f>
        <v>0.10194174757281549</v>
      </c>
      <c r="AC17" s="2">
        <v>1</v>
      </c>
      <c r="AE17" s="26">
        <f>SUM(Table1[[#This Row],[Qty Lokasi]]+Table13[[#This Row],[Qty Lokasi]]+Table7[[#This Row],[Qty Lokasi]])</f>
        <v>4640</v>
      </c>
      <c r="AF17" s="26">
        <f>SUM(Table1[[#This Row],[Available]]+Table13[[#This Row],[Available]]+Table7[[#This Row],[Available]])</f>
        <v>1085</v>
      </c>
      <c r="AG17" s="27">
        <f>1-Table3[Available]/Table3[Total]</f>
        <v>0.76616379310344829</v>
      </c>
    </row>
    <row r="18" spans="1:33">
      <c r="A18" s="1" t="s">
        <v>9</v>
      </c>
      <c r="B18" s="1">
        <v>43606</v>
      </c>
      <c r="C18" s="7">
        <v>3888</v>
      </c>
      <c r="D18" s="7">
        <v>2844</v>
      </c>
      <c r="E18" s="7">
        <v>911</v>
      </c>
      <c r="F18" s="7">
        <v>133</v>
      </c>
      <c r="G18" s="2">
        <f>(Table1[Terpakai]+Table1[[#This Row],[Staging]])/Table1[Qty Lokasi]</f>
        <v>0.76568930041152261</v>
      </c>
      <c r="H18" s="2">
        <f>Table1[Max]-Table1[Occupancy]</f>
        <v>0.23431069958847739</v>
      </c>
      <c r="I18" s="2">
        <v>1</v>
      </c>
      <c r="K18" s="1" t="s">
        <v>10</v>
      </c>
      <c r="L18" s="1">
        <v>43606</v>
      </c>
      <c r="M18" s="7">
        <v>340</v>
      </c>
      <c r="N18" s="7">
        <v>252</v>
      </c>
      <c r="O18" s="7">
        <v>68</v>
      </c>
      <c r="P18" s="7">
        <v>20</v>
      </c>
      <c r="Q18" s="2">
        <f>(Table13[Terpakai]+Table13[[#This Row],[Staging]])/Table13[Qty Lokasi]</f>
        <v>0.8</v>
      </c>
      <c r="R18" s="2">
        <f>Table13[Max]-Table13[Occupancy]</f>
        <v>0.19999999999999996</v>
      </c>
      <c r="S18" s="2">
        <v>1</v>
      </c>
      <c r="U18" s="3" t="s">
        <v>11</v>
      </c>
      <c r="V18" s="1">
        <v>43606</v>
      </c>
      <c r="W18" s="7">
        <v>412</v>
      </c>
      <c r="X18" s="7">
        <v>333</v>
      </c>
      <c r="Y18" s="7">
        <v>27</v>
      </c>
      <c r="Z18" s="7">
        <v>52</v>
      </c>
      <c r="AA18" s="2">
        <f>(Table7[Terpakai]+Table7[[#This Row],[Staging]])/Table7[Qty Lokasi]</f>
        <v>0.93446601941747576</v>
      </c>
      <c r="AB18" s="2">
        <f>Table7[Max]-Table7[Occupancy]</f>
        <v>6.5533980582524243E-2</v>
      </c>
      <c r="AC18" s="2">
        <v>1</v>
      </c>
      <c r="AE18" s="26">
        <f>SUM(Table1[[#This Row],[Qty Lokasi]]+Table13[[#This Row],[Qty Lokasi]]+Table7[[#This Row],[Qty Lokasi]])</f>
        <v>4640</v>
      </c>
      <c r="AF18" s="26">
        <f>SUM(Table1[[#This Row],[Available]]+Table13[[#This Row],[Available]]+Table7[[#This Row],[Available]])</f>
        <v>1006</v>
      </c>
      <c r="AG18" s="27">
        <f>1-Table3[Available]/Table3[Total]</f>
        <v>0.78318965517241379</v>
      </c>
    </row>
    <row r="19" spans="1:33">
      <c r="A19" s="1" t="s">
        <v>9</v>
      </c>
      <c r="B19" s="1">
        <v>43607</v>
      </c>
      <c r="C19" s="7">
        <v>3888</v>
      </c>
      <c r="D19" s="7">
        <v>2874</v>
      </c>
      <c r="E19" s="7">
        <v>963</v>
      </c>
      <c r="F19" s="7">
        <v>51</v>
      </c>
      <c r="G19" s="2">
        <f>(Table1[Terpakai]+Table1[[#This Row],[Staging]])/Table1[Qty Lokasi]</f>
        <v>0.75231481481481477</v>
      </c>
      <c r="H19" s="2">
        <f>Table1[Max]-Table1[Occupancy]</f>
        <v>0.24768518518518523</v>
      </c>
      <c r="I19" s="2">
        <v>1</v>
      </c>
      <c r="K19" s="1" t="s">
        <v>10</v>
      </c>
      <c r="L19" s="1">
        <v>43607</v>
      </c>
      <c r="M19" s="7">
        <v>340</v>
      </c>
      <c r="N19" s="7">
        <v>187</v>
      </c>
      <c r="O19" s="7">
        <v>133</v>
      </c>
      <c r="P19" s="7">
        <v>20</v>
      </c>
      <c r="Q19" s="2">
        <f>(Table13[Terpakai]+Table13[[#This Row],[Staging]])/Table13[Qty Lokasi]</f>
        <v>0.60882352941176465</v>
      </c>
      <c r="R19" s="2">
        <f>Table13[Max]-Table13[Occupancy]</f>
        <v>0.39117647058823535</v>
      </c>
      <c r="S19" s="2">
        <v>1</v>
      </c>
      <c r="U19" s="3" t="s">
        <v>11</v>
      </c>
      <c r="V19" s="1">
        <v>43607</v>
      </c>
      <c r="W19" s="7">
        <v>412</v>
      </c>
      <c r="X19" s="7">
        <v>346</v>
      </c>
      <c r="Y19" s="7">
        <v>62</v>
      </c>
      <c r="Z19" s="7">
        <v>4</v>
      </c>
      <c r="AA19" s="2">
        <f>(Table7[Terpakai]+Table7[[#This Row],[Staging]])/Table7[Qty Lokasi]</f>
        <v>0.84951456310679607</v>
      </c>
      <c r="AB19" s="2">
        <f>Table7[Max]-Table7[Occupancy]</f>
        <v>0.15048543689320393</v>
      </c>
      <c r="AC19" s="2">
        <v>1</v>
      </c>
      <c r="AE19" s="26">
        <f>SUM(Table1[[#This Row],[Qty Lokasi]]+Table13[[#This Row],[Qty Lokasi]]+Table7[[#This Row],[Qty Lokasi]])</f>
        <v>4640</v>
      </c>
      <c r="AF19" s="26">
        <f>SUM(Table1[[#This Row],[Available]]+Table13[[#This Row],[Available]]+Table7[[#This Row],[Available]])</f>
        <v>1158</v>
      </c>
      <c r="AG19" s="27">
        <f>1-Table3[Available]/Table3[Total]</f>
        <v>0.75043103448275861</v>
      </c>
    </row>
    <row r="20" spans="1:33">
      <c r="A20" s="1" t="s">
        <v>9</v>
      </c>
      <c r="B20" s="1">
        <v>43608</v>
      </c>
      <c r="C20" s="7">
        <v>3888</v>
      </c>
      <c r="D20" s="7">
        <v>2804</v>
      </c>
      <c r="E20" s="7">
        <v>1053</v>
      </c>
      <c r="F20" s="7">
        <v>31</v>
      </c>
      <c r="G20" s="2">
        <f>(Table1[Terpakai]+Table1[[#This Row],[Staging]])/Table1[Qty Lokasi]</f>
        <v>0.72916666666666663</v>
      </c>
      <c r="H20" s="2">
        <f>Table1[Max]-Table1[Occupancy]</f>
        <v>0.27083333333333337</v>
      </c>
      <c r="I20" s="2">
        <v>1</v>
      </c>
      <c r="K20" s="1" t="s">
        <v>10</v>
      </c>
      <c r="L20" s="1">
        <v>43608</v>
      </c>
      <c r="M20" s="7">
        <v>340</v>
      </c>
      <c r="N20" s="7">
        <v>169</v>
      </c>
      <c r="O20" s="7">
        <v>171</v>
      </c>
      <c r="P20" s="7">
        <v>0</v>
      </c>
      <c r="Q20" s="2">
        <f>(Table13[Terpakai]+Table13[[#This Row],[Staging]])/Table13[Qty Lokasi]</f>
        <v>0.49705882352941178</v>
      </c>
      <c r="R20" s="2">
        <f>Table13[Max]-Table13[Occupancy]</f>
        <v>0.50294117647058822</v>
      </c>
      <c r="S20" s="2">
        <v>1</v>
      </c>
      <c r="U20" s="3" t="s">
        <v>11</v>
      </c>
      <c r="V20" s="1">
        <v>43608</v>
      </c>
      <c r="W20" s="7">
        <v>412</v>
      </c>
      <c r="X20" s="7">
        <v>308</v>
      </c>
      <c r="Y20" s="7">
        <v>100</v>
      </c>
      <c r="Z20" s="7">
        <v>4</v>
      </c>
      <c r="AA20" s="2">
        <f>(Table7[Terpakai]+Table7[[#This Row],[Staging]])/Table7[Qty Lokasi]</f>
        <v>0.75728155339805825</v>
      </c>
      <c r="AB20" s="2">
        <f>Table7[Max]-Table7[Occupancy]</f>
        <v>0.24271844660194175</v>
      </c>
      <c r="AC20" s="2">
        <v>1</v>
      </c>
      <c r="AE20" s="26">
        <f>SUM(Table1[[#This Row],[Qty Lokasi]]+Table13[[#This Row],[Qty Lokasi]]+Table7[[#This Row],[Qty Lokasi]])</f>
        <v>4640</v>
      </c>
      <c r="AF20" s="26">
        <f>SUM(Table1[[#This Row],[Available]]+Table13[[#This Row],[Available]]+Table7[[#This Row],[Available]])</f>
        <v>1324</v>
      </c>
      <c r="AG20" s="27">
        <f>1-Table3[Available]/Table3[Total]</f>
        <v>0.71465517241379306</v>
      </c>
    </row>
    <row r="21" spans="1:33">
      <c r="A21" s="1" t="s">
        <v>9</v>
      </c>
      <c r="B21" s="1">
        <v>43609</v>
      </c>
      <c r="C21" s="7">
        <v>3888</v>
      </c>
      <c r="D21" s="7">
        <v>2666</v>
      </c>
      <c r="E21" s="7">
        <v>1145</v>
      </c>
      <c r="F21" s="7">
        <v>77</v>
      </c>
      <c r="G21" s="2">
        <f>(Table1[Terpakai]+Table1[[#This Row],[Staging]])/Table1[Qty Lokasi]</f>
        <v>0.70550411522633749</v>
      </c>
      <c r="H21" s="2">
        <f>Table1[Max]-Table1[Occupancy]</f>
        <v>0.29449588477366251</v>
      </c>
      <c r="I21" s="2">
        <v>1</v>
      </c>
      <c r="K21" s="1" t="s">
        <v>10</v>
      </c>
      <c r="L21" s="1">
        <v>43609</v>
      </c>
      <c r="M21" s="7">
        <v>340</v>
      </c>
      <c r="N21" s="7">
        <v>171</v>
      </c>
      <c r="O21" s="7">
        <v>142</v>
      </c>
      <c r="P21" s="7">
        <v>27</v>
      </c>
      <c r="Q21" s="2">
        <f>(Table13[Terpakai]+Table13[[#This Row],[Staging]])/Table13[Qty Lokasi]</f>
        <v>0.58235294117647063</v>
      </c>
      <c r="R21" s="2">
        <f>Table13[Max]-Table13[Occupancy]</f>
        <v>0.41764705882352937</v>
      </c>
      <c r="S21" s="2">
        <v>1</v>
      </c>
      <c r="U21" s="3" t="s">
        <v>11</v>
      </c>
      <c r="V21" s="1">
        <v>43609</v>
      </c>
      <c r="W21" s="7">
        <v>412</v>
      </c>
      <c r="X21" s="7">
        <v>316</v>
      </c>
      <c r="Y21" s="7">
        <v>35</v>
      </c>
      <c r="Z21" s="7">
        <v>61</v>
      </c>
      <c r="AA21" s="2">
        <f>(Table7[Terpakai]+Table7[[#This Row],[Staging]])/Table7[Qty Lokasi]</f>
        <v>0.91504854368932043</v>
      </c>
      <c r="AB21" s="2">
        <f>Table7[Max]-Table7[Occupancy]</f>
        <v>8.4951456310679574E-2</v>
      </c>
      <c r="AC21" s="2">
        <v>1</v>
      </c>
      <c r="AE21" s="26">
        <f>SUM(Table1[[#This Row],[Qty Lokasi]]+Table13[[#This Row],[Qty Lokasi]]+Table7[[#This Row],[Qty Lokasi]])</f>
        <v>4640</v>
      </c>
      <c r="AF21" s="26">
        <f>SUM(Table1[[#This Row],[Available]]+Table13[[#This Row],[Available]]+Table7[[#This Row],[Available]])</f>
        <v>1322</v>
      </c>
      <c r="AG21" s="27">
        <f>1-Table3[Available]/Table3[Total]</f>
        <v>0.71508620689655178</v>
      </c>
    </row>
    <row r="22" spans="1:33">
      <c r="A22" s="1" t="s">
        <v>9</v>
      </c>
      <c r="B22" s="1">
        <v>43610</v>
      </c>
      <c r="C22" s="7">
        <v>3888</v>
      </c>
      <c r="D22" s="7">
        <v>2615</v>
      </c>
      <c r="E22" s="7">
        <v>1260</v>
      </c>
      <c r="F22" s="7">
        <v>13</v>
      </c>
      <c r="G22" s="2">
        <f>(Table1[Terpakai]+Table1[[#This Row],[Staging]])/Table1[Qty Lokasi]</f>
        <v>0.67592592592592593</v>
      </c>
      <c r="H22" s="2">
        <f>Table1[Max]-Table1[Occupancy]</f>
        <v>0.32407407407407407</v>
      </c>
      <c r="I22" s="2">
        <v>1</v>
      </c>
      <c r="K22" s="1" t="s">
        <v>10</v>
      </c>
      <c r="L22" s="1">
        <v>43610</v>
      </c>
      <c r="M22" s="7">
        <v>340</v>
      </c>
      <c r="N22" s="7">
        <v>218</v>
      </c>
      <c r="O22" s="7">
        <v>122</v>
      </c>
      <c r="P22" s="7">
        <v>0</v>
      </c>
      <c r="Q22" s="2">
        <f>(Table13[Terpakai]+Table13[[#This Row],[Staging]])/Table13[Qty Lokasi]</f>
        <v>0.64117647058823535</v>
      </c>
      <c r="R22" s="2">
        <f>Table13[Max]-Table13[Occupancy]</f>
        <v>0.35882352941176465</v>
      </c>
      <c r="S22" s="2">
        <v>1</v>
      </c>
      <c r="U22" s="3" t="s">
        <v>11</v>
      </c>
      <c r="V22" s="1">
        <v>43610</v>
      </c>
      <c r="W22" s="7">
        <v>412</v>
      </c>
      <c r="X22" s="7">
        <v>300</v>
      </c>
      <c r="Y22" s="7">
        <v>37</v>
      </c>
      <c r="Z22" s="7">
        <v>75</v>
      </c>
      <c r="AA22" s="2">
        <f>(Table7[Terpakai]+Table7[[#This Row],[Staging]])/Table7[Qty Lokasi]</f>
        <v>0.91019417475728159</v>
      </c>
      <c r="AB22" s="2">
        <f>Table7[Max]-Table7[Occupancy]</f>
        <v>8.9805825242718407E-2</v>
      </c>
      <c r="AC22" s="2">
        <v>1</v>
      </c>
      <c r="AE22" s="26">
        <f>SUM(Table1[[#This Row],[Qty Lokasi]]+Table13[[#This Row],[Qty Lokasi]]+Table7[[#This Row],[Qty Lokasi]])</f>
        <v>4640</v>
      </c>
      <c r="AF22" s="26">
        <f>SUM(Table1[[#This Row],[Available]]+Table13[[#This Row],[Available]]+Table7[[#This Row],[Available]])</f>
        <v>1419</v>
      </c>
      <c r="AG22" s="27">
        <f>1-Table3[Available]/Table3[Total]</f>
        <v>0.69418103448275859</v>
      </c>
    </row>
    <row r="23" spans="1:33">
      <c r="A23" s="1" t="s">
        <v>9</v>
      </c>
      <c r="B23" s="1">
        <v>43612</v>
      </c>
      <c r="C23" s="7">
        <v>3888</v>
      </c>
      <c r="D23" s="7">
        <v>2566</v>
      </c>
      <c r="E23" s="7">
        <v>1312</v>
      </c>
      <c r="F23" s="7">
        <v>10</v>
      </c>
      <c r="G23" s="2">
        <f>(Table1[Terpakai]+Table1[[#This Row],[Staging]])/Table1[Qty Lokasi]</f>
        <v>0.66255144032921809</v>
      </c>
      <c r="H23" s="2">
        <f>Table1[Max]-Table1[Occupancy]</f>
        <v>0.33744855967078191</v>
      </c>
      <c r="I23" s="2">
        <v>1</v>
      </c>
      <c r="K23" s="1" t="s">
        <v>10</v>
      </c>
      <c r="L23" s="1">
        <v>43612</v>
      </c>
      <c r="M23" s="7">
        <v>340</v>
      </c>
      <c r="N23" s="7">
        <v>218</v>
      </c>
      <c r="O23" s="7">
        <v>122</v>
      </c>
      <c r="P23" s="7">
        <v>0</v>
      </c>
      <c r="Q23" s="2">
        <f>(Table13[Terpakai]+Table13[[#This Row],[Staging]])/Table13[Qty Lokasi]</f>
        <v>0.64117647058823535</v>
      </c>
      <c r="R23" s="2">
        <f>Table13[Max]-Table13[Occupancy]</f>
        <v>0.35882352941176465</v>
      </c>
      <c r="S23" s="2">
        <v>1</v>
      </c>
      <c r="U23" s="3" t="s">
        <v>11</v>
      </c>
      <c r="V23" s="1">
        <v>43612</v>
      </c>
      <c r="W23" s="7">
        <v>412</v>
      </c>
      <c r="X23" s="7">
        <v>333</v>
      </c>
      <c r="Y23" s="7">
        <v>16</v>
      </c>
      <c r="Z23" s="7">
        <v>63</v>
      </c>
      <c r="AA23" s="2">
        <f>(Table7[Terpakai]+Table7[[#This Row],[Staging]])/Table7[Qty Lokasi]</f>
        <v>0.96116504854368934</v>
      </c>
      <c r="AB23" s="2">
        <f>Table7[Max]-Table7[Occupancy]</f>
        <v>3.8834951456310662E-2</v>
      </c>
      <c r="AC23" s="2">
        <v>1</v>
      </c>
      <c r="AE23" s="26">
        <f>SUM(Table1[[#This Row],[Qty Lokasi]]+Table13[[#This Row],[Qty Lokasi]]+Table7[[#This Row],[Qty Lokasi]])</f>
        <v>4640</v>
      </c>
      <c r="AF23" s="26">
        <f>SUM(Table1[[#This Row],[Available]]+Table13[[#This Row],[Available]]+Table7[[#This Row],[Available]])</f>
        <v>1450</v>
      </c>
      <c r="AG23" s="27">
        <f>1-Table3[Available]/Table3[Total]</f>
        <v>0.6875</v>
      </c>
    </row>
    <row r="24" spans="1:33">
      <c r="A24" s="1" t="s">
        <v>9</v>
      </c>
      <c r="B24" s="1">
        <v>43613</v>
      </c>
      <c r="C24" s="7">
        <v>3888</v>
      </c>
      <c r="D24" s="7">
        <v>2556</v>
      </c>
      <c r="E24" s="7">
        <v>1147</v>
      </c>
      <c r="F24" s="7">
        <v>185</v>
      </c>
      <c r="G24" s="2">
        <f>(Table1[Terpakai]+Table1[[#This Row],[Staging]])/Table1[Qty Lokasi]</f>
        <v>0.70498971193415638</v>
      </c>
      <c r="H24" s="2">
        <f>Table1[Max]-Table1[Occupancy]</f>
        <v>0.29501028806584362</v>
      </c>
      <c r="I24" s="2">
        <v>1</v>
      </c>
      <c r="K24" s="1" t="s">
        <v>10</v>
      </c>
      <c r="L24" s="1">
        <v>43613</v>
      </c>
      <c r="M24" s="7">
        <v>340</v>
      </c>
      <c r="N24" s="7">
        <v>185</v>
      </c>
      <c r="O24" s="7">
        <v>103</v>
      </c>
      <c r="P24" s="7">
        <v>52</v>
      </c>
      <c r="Q24" s="2">
        <f>(Table13[Terpakai]+Table13[[#This Row],[Staging]])/Table13[Qty Lokasi]</f>
        <v>0.69705882352941173</v>
      </c>
      <c r="R24" s="2">
        <f>Table13[Max]-Table13[Occupancy]</f>
        <v>0.30294117647058827</v>
      </c>
      <c r="S24" s="2">
        <v>1</v>
      </c>
      <c r="U24" s="3" t="s">
        <v>11</v>
      </c>
      <c r="V24" s="1">
        <v>43613</v>
      </c>
      <c r="W24" s="7">
        <v>412</v>
      </c>
      <c r="X24" s="7">
        <v>373</v>
      </c>
      <c r="Y24" s="7">
        <v>17</v>
      </c>
      <c r="Z24" s="7">
        <v>22</v>
      </c>
      <c r="AA24" s="2">
        <f>(Table7[Terpakai]+Table7[[#This Row],[Staging]])/Table7[Qty Lokasi]</f>
        <v>0.95873786407766992</v>
      </c>
      <c r="AB24" s="2">
        <f>Table7[Max]-Table7[Occupancy]</f>
        <v>4.1262135922330079E-2</v>
      </c>
      <c r="AC24" s="2">
        <v>1</v>
      </c>
      <c r="AE24" s="26">
        <f>SUM(Table1[[#This Row],[Qty Lokasi]]+Table13[[#This Row],[Qty Lokasi]]+Table7[[#This Row],[Qty Lokasi]])</f>
        <v>4640</v>
      </c>
      <c r="AF24" s="26">
        <f>SUM(Table1[[#This Row],[Available]]+Table13[[#This Row],[Available]]+Table7[[#This Row],[Available]])</f>
        <v>1267</v>
      </c>
      <c r="AG24" s="27">
        <f>1-Table3[Available]/Table3[Total]</f>
        <v>0.72693965517241377</v>
      </c>
    </row>
    <row r="25" spans="1:33">
      <c r="A25" s="1" t="s">
        <v>9</v>
      </c>
      <c r="B25" s="1">
        <v>43614</v>
      </c>
      <c r="C25" s="7">
        <v>3888</v>
      </c>
      <c r="D25" s="7">
        <v>2592</v>
      </c>
      <c r="E25" s="7">
        <v>1065</v>
      </c>
      <c r="F25" s="7">
        <v>231</v>
      </c>
      <c r="G25" s="2">
        <f>(Table1[Terpakai]+Table1[[#This Row],[Staging]])/Table1[Qty Lokasi]</f>
        <v>0.7260802469135802</v>
      </c>
      <c r="H25" s="2">
        <f>Table1[Max]-Table1[Occupancy]</f>
        <v>0.2739197530864198</v>
      </c>
      <c r="I25" s="2">
        <v>1</v>
      </c>
      <c r="K25" s="1" t="s">
        <v>10</v>
      </c>
      <c r="L25" s="1">
        <v>43614</v>
      </c>
      <c r="M25" s="7">
        <v>340</v>
      </c>
      <c r="N25" s="7">
        <v>206</v>
      </c>
      <c r="O25" s="7">
        <v>103</v>
      </c>
      <c r="P25" s="7">
        <v>31</v>
      </c>
      <c r="Q25" s="2">
        <f>(Table13[Terpakai]+Table13[[#This Row],[Staging]])/Table13[Qty Lokasi]</f>
        <v>0.69705882352941173</v>
      </c>
      <c r="R25" s="2">
        <f>Table13[Max]-Table13[Occupancy]</f>
        <v>0.30294117647058827</v>
      </c>
      <c r="S25" s="2">
        <v>1</v>
      </c>
      <c r="U25" s="3" t="s">
        <v>11</v>
      </c>
      <c r="V25" s="1">
        <v>43614</v>
      </c>
      <c r="W25" s="7">
        <v>412</v>
      </c>
      <c r="X25" s="7">
        <v>335</v>
      </c>
      <c r="Y25" s="7">
        <v>13</v>
      </c>
      <c r="Z25" s="7">
        <v>64</v>
      </c>
      <c r="AA25" s="2">
        <f>(Table7[Terpakai]+Table7[[#This Row],[Staging]])/Table7[Qty Lokasi]</f>
        <v>0.96844660194174759</v>
      </c>
      <c r="AB25" s="2">
        <f>Table7[Max]-Table7[Occupancy]</f>
        <v>3.1553398058252413E-2</v>
      </c>
      <c r="AC25" s="2">
        <v>1</v>
      </c>
      <c r="AE25" s="26">
        <f>SUM(Table1[[#This Row],[Qty Lokasi]]+Table13[[#This Row],[Qty Lokasi]]+Table7[[#This Row],[Qty Lokasi]])</f>
        <v>4640</v>
      </c>
      <c r="AF25" s="26">
        <f>SUM(Table1[[#This Row],[Available]]+Table13[[#This Row],[Available]]+Table7[[#This Row],[Available]])</f>
        <v>1181</v>
      </c>
      <c r="AG25" s="27">
        <f>1-Table3[Available]/Table3[Total]</f>
        <v>0.74547413793103456</v>
      </c>
    </row>
    <row r="26" spans="1:33">
      <c r="A26" s="1" t="s">
        <v>9</v>
      </c>
      <c r="B26" s="1">
        <v>43615</v>
      </c>
      <c r="C26" s="7">
        <v>3888</v>
      </c>
      <c r="D26" s="7">
        <v>2736</v>
      </c>
      <c r="E26" s="7">
        <v>1107</v>
      </c>
      <c r="F26" s="7">
        <v>45</v>
      </c>
      <c r="G26" s="2">
        <f>(Table1[Terpakai]+Table1[[#This Row],[Staging]])/Table1[Qty Lokasi]</f>
        <v>0.71527777777777779</v>
      </c>
      <c r="H26" s="2">
        <f>Table1[Max]-Table1[Occupancy]</f>
        <v>0.28472222222222221</v>
      </c>
      <c r="I26" s="2">
        <v>1</v>
      </c>
      <c r="K26" s="1" t="s">
        <v>10</v>
      </c>
      <c r="L26" s="1">
        <v>43615</v>
      </c>
      <c r="M26" s="7">
        <v>340</v>
      </c>
      <c r="N26" s="7">
        <v>239</v>
      </c>
      <c r="O26" s="7">
        <v>95</v>
      </c>
      <c r="P26" s="7">
        <v>6</v>
      </c>
      <c r="Q26" s="2">
        <f>(Table13[Terpakai]+Table13[[#This Row],[Staging]])/Table13[Qty Lokasi]</f>
        <v>0.72058823529411764</v>
      </c>
      <c r="R26" s="2">
        <f>Table13[Max]-Table13[Occupancy]</f>
        <v>0.27941176470588236</v>
      </c>
      <c r="S26" s="2">
        <v>1</v>
      </c>
      <c r="U26" s="3" t="s">
        <v>11</v>
      </c>
      <c r="V26" s="1">
        <v>43615</v>
      </c>
      <c r="W26" s="7">
        <v>412</v>
      </c>
      <c r="X26" s="7">
        <v>317</v>
      </c>
      <c r="Y26" s="7">
        <v>50</v>
      </c>
      <c r="Z26" s="7">
        <v>45</v>
      </c>
      <c r="AA26" s="2">
        <f>(Table7[Terpakai]+Table7[[#This Row],[Staging]])/Table7[Qty Lokasi]</f>
        <v>0.87864077669902918</v>
      </c>
      <c r="AB26" s="2">
        <f>Table7[Max]-Table7[Occupancy]</f>
        <v>0.12135922330097082</v>
      </c>
      <c r="AC26" s="2">
        <v>1</v>
      </c>
      <c r="AE26" s="26">
        <f>SUM(Table1[[#This Row],[Qty Lokasi]]+Table13[[#This Row],[Qty Lokasi]]+Table7[[#This Row],[Qty Lokasi]])</f>
        <v>4640</v>
      </c>
      <c r="AF26" s="26">
        <f>SUM(Table1[[#This Row],[Available]]+Table13[[#This Row],[Available]]+Table7[[#This Row],[Available]])</f>
        <v>1252</v>
      </c>
      <c r="AG26" s="27">
        <f>1-Table3[Available]/Table3[Total]</f>
        <v>0.73017241379310338</v>
      </c>
    </row>
    <row r="27" spans="1:33" ht="15.75">
      <c r="A27" s="1" t="s">
        <v>9</v>
      </c>
      <c r="B27" s="1">
        <v>43627</v>
      </c>
      <c r="C27" s="7">
        <v>3888</v>
      </c>
      <c r="D27" s="7">
        <v>2727</v>
      </c>
      <c r="E27" s="7">
        <v>1119</v>
      </c>
      <c r="F27" s="7">
        <v>42</v>
      </c>
      <c r="G27" s="2">
        <f>(Table1[Terpakai]+Table1[[#This Row],[Staging]])/Table1[Qty Lokasi]</f>
        <v>0.71219135802469136</v>
      </c>
      <c r="H27" s="2">
        <f>Table1[Max]-Table1[Occupancy]</f>
        <v>0.28780864197530864</v>
      </c>
      <c r="I27" s="2">
        <v>1</v>
      </c>
      <c r="K27" s="1" t="s">
        <v>10</v>
      </c>
      <c r="L27" s="1">
        <v>43627</v>
      </c>
      <c r="M27" s="7">
        <v>340</v>
      </c>
      <c r="N27" s="7">
        <v>239</v>
      </c>
      <c r="O27" s="7">
        <v>95</v>
      </c>
      <c r="P27" s="7">
        <v>6</v>
      </c>
      <c r="Q27" s="2">
        <f>(Table13[Terpakai]+Table13[[#This Row],[Staging]])/Table13[Qty Lokasi]</f>
        <v>0.72058823529411764</v>
      </c>
      <c r="R27" s="2">
        <f>Table13[Max]-Table13[Occupancy]</f>
        <v>0.27941176470588236</v>
      </c>
      <c r="S27" s="2">
        <v>1</v>
      </c>
      <c r="U27" s="3" t="s">
        <v>11</v>
      </c>
      <c r="V27" s="1">
        <v>43627</v>
      </c>
      <c r="W27" s="8">
        <v>412</v>
      </c>
      <c r="X27" s="8">
        <v>332</v>
      </c>
      <c r="Y27" s="8">
        <v>59</v>
      </c>
      <c r="Z27" s="8">
        <v>21</v>
      </c>
      <c r="AA27" s="2">
        <f>(Table7[Terpakai]+Table7[[#This Row],[Staging]])/Table7[Qty Lokasi]</f>
        <v>0.85679611650485432</v>
      </c>
      <c r="AB27" s="2">
        <f>Table7[Max]-Table7[Occupancy]</f>
        <v>0.14320388349514568</v>
      </c>
      <c r="AC27" s="2">
        <v>1</v>
      </c>
      <c r="AE27" s="26">
        <f>SUM(Table1[[#This Row],[Qty Lokasi]]+Table13[[#This Row],[Qty Lokasi]]+Table7[[#This Row],[Qty Lokasi]])</f>
        <v>4640</v>
      </c>
      <c r="AF27" s="26">
        <f>SUM(Table1[[#This Row],[Available]]+Table13[[#This Row],[Available]]+Table7[[#This Row],[Available]])</f>
        <v>1273</v>
      </c>
      <c r="AG27" s="27">
        <f>1-Table3[Available]/Table3[Total]</f>
        <v>0.72564655172413794</v>
      </c>
    </row>
    <row r="28" spans="1:33" ht="15.75">
      <c r="A28" s="1" t="s">
        <v>9</v>
      </c>
      <c r="B28" s="1">
        <v>43628</v>
      </c>
      <c r="C28" s="8">
        <v>3888</v>
      </c>
      <c r="D28" s="8">
        <v>2619</v>
      </c>
      <c r="E28" s="8">
        <v>1167</v>
      </c>
      <c r="F28" s="8">
        <v>102</v>
      </c>
      <c r="G28" s="2">
        <f>(Table1[Terpakai]+Table1[[#This Row],[Staging]])/Table1[Qty Lokasi]</f>
        <v>0.69984567901234573</v>
      </c>
      <c r="H28" s="2">
        <f>Table1[Max]-Table1[Occupancy]</f>
        <v>0.30015432098765427</v>
      </c>
      <c r="I28" s="2">
        <v>1</v>
      </c>
      <c r="K28" s="1" t="s">
        <v>10</v>
      </c>
      <c r="L28" s="1">
        <v>43628</v>
      </c>
      <c r="M28" s="8">
        <v>340</v>
      </c>
      <c r="N28" s="8">
        <v>249</v>
      </c>
      <c r="O28" s="8">
        <v>89</v>
      </c>
      <c r="P28" s="8">
        <v>2</v>
      </c>
      <c r="Q28" s="2">
        <f>(Table13[Terpakai]+Table13[[#This Row],[Staging]])/Table13[Qty Lokasi]</f>
        <v>0.7382352941176471</v>
      </c>
      <c r="R28" s="2">
        <f>Table13[Max]-Table13[Occupancy]</f>
        <v>0.2617647058823529</v>
      </c>
      <c r="S28" s="2">
        <v>1</v>
      </c>
      <c r="U28" s="3" t="s">
        <v>11</v>
      </c>
      <c r="V28" s="1">
        <v>43628</v>
      </c>
      <c r="W28" s="8">
        <v>412</v>
      </c>
      <c r="X28" s="8">
        <v>303</v>
      </c>
      <c r="Y28" s="8">
        <v>109</v>
      </c>
      <c r="Z28" s="8">
        <v>0</v>
      </c>
      <c r="AA28" s="2">
        <f>(Table7[Terpakai]+Table7[[#This Row],[Staging]])/Table7[Qty Lokasi]</f>
        <v>0.7354368932038835</v>
      </c>
      <c r="AB28" s="2">
        <f>Table7[Max]-Table7[Occupancy]</f>
        <v>0.2645631067961165</v>
      </c>
      <c r="AC28" s="2">
        <v>1</v>
      </c>
      <c r="AE28" s="26">
        <f>SUM(Table1[[#This Row],[Qty Lokasi]]+Table13[[#This Row],[Qty Lokasi]]+Table7[[#This Row],[Qty Lokasi]])</f>
        <v>4640</v>
      </c>
      <c r="AF28" s="26">
        <f>SUM(Table1[[#This Row],[Available]]+Table13[[#This Row],[Available]]+Table7[[#This Row],[Available]])</f>
        <v>1365</v>
      </c>
      <c r="AG28" s="27">
        <f>1-Table3[Available]/Table3[Total]</f>
        <v>0.70581896551724133</v>
      </c>
    </row>
    <row r="29" spans="1:33" ht="15.75">
      <c r="A29" s="1" t="s">
        <v>9</v>
      </c>
      <c r="B29" s="1">
        <v>43629</v>
      </c>
      <c r="C29" s="8">
        <v>3888</v>
      </c>
      <c r="D29" s="8">
        <v>2617</v>
      </c>
      <c r="E29" s="8">
        <v>1142</v>
      </c>
      <c r="F29" s="8">
        <v>129</v>
      </c>
      <c r="G29" s="2">
        <f>(Table1[Terpakai]+Table1[[#This Row],[Staging]])/Table1[Qty Lokasi]</f>
        <v>0.70627572016460904</v>
      </c>
      <c r="H29" s="2">
        <f>Table1[Max]-Table1[Occupancy]</f>
        <v>0.29372427983539096</v>
      </c>
      <c r="I29" s="2">
        <v>1</v>
      </c>
      <c r="K29" s="1" t="s">
        <v>10</v>
      </c>
      <c r="L29" s="1">
        <v>43629</v>
      </c>
      <c r="M29" s="8">
        <v>340</v>
      </c>
      <c r="N29" s="8">
        <v>231</v>
      </c>
      <c r="O29" s="8">
        <v>98</v>
      </c>
      <c r="P29" s="8">
        <v>11</v>
      </c>
      <c r="Q29" s="2">
        <f>(Table13[Terpakai]+Table13[[#This Row],[Staging]])/Table13[Qty Lokasi]</f>
        <v>0.71176470588235297</v>
      </c>
      <c r="R29" s="2">
        <f>Table13[Max]-Table13[Occupancy]</f>
        <v>0.28823529411764703</v>
      </c>
      <c r="S29" s="2">
        <v>1</v>
      </c>
      <c r="U29" s="3" t="s">
        <v>11</v>
      </c>
      <c r="V29" s="1">
        <v>43629</v>
      </c>
      <c r="W29" s="8">
        <v>412</v>
      </c>
      <c r="X29" s="8">
        <v>259</v>
      </c>
      <c r="Y29" s="8">
        <v>153</v>
      </c>
      <c r="Z29" s="8">
        <v>0</v>
      </c>
      <c r="AA29" s="2">
        <f>(Table7[Terpakai]+Table7[[#This Row],[Staging]])/Table7[Qty Lokasi]</f>
        <v>0.62864077669902918</v>
      </c>
      <c r="AB29" s="2">
        <f>Table7[Max]-Table7[Occupancy]</f>
        <v>0.37135922330097082</v>
      </c>
      <c r="AC29" s="2">
        <v>1</v>
      </c>
      <c r="AE29" s="26">
        <f>SUM(Table1[[#This Row],[Qty Lokasi]]+Table13[[#This Row],[Qty Lokasi]]+Table7[[#This Row],[Qty Lokasi]])</f>
        <v>4640</v>
      </c>
      <c r="AF29" s="26">
        <f>SUM(Table1[[#This Row],[Available]]+Table13[[#This Row],[Available]]+Table7[[#This Row],[Available]])</f>
        <v>1393</v>
      </c>
      <c r="AG29" s="27">
        <f>1-Table3[Available]/Table3[Total]</f>
        <v>0.69978448275862071</v>
      </c>
    </row>
    <row r="30" spans="1:33" ht="15.75">
      <c r="A30" s="1" t="s">
        <v>9</v>
      </c>
      <c r="B30" s="1">
        <v>43630</v>
      </c>
      <c r="C30" s="8">
        <v>3888</v>
      </c>
      <c r="D30" s="8">
        <v>2672</v>
      </c>
      <c r="E30" s="8">
        <v>1135</v>
      </c>
      <c r="F30" s="8">
        <v>81</v>
      </c>
      <c r="G30" s="2">
        <f>(Table1[Terpakai]+Table1[[#This Row],[Staging]])/Table1[Qty Lokasi]</f>
        <v>0.70807613168724282</v>
      </c>
      <c r="H30" s="2">
        <f>Table1[Max]-Table1[Occupancy]</f>
        <v>0.29192386831275718</v>
      </c>
      <c r="I30" s="2">
        <v>1</v>
      </c>
      <c r="K30" s="1" t="s">
        <v>10</v>
      </c>
      <c r="L30" s="1">
        <v>43630</v>
      </c>
      <c r="M30" s="8">
        <v>340</v>
      </c>
      <c r="N30" s="8">
        <v>231</v>
      </c>
      <c r="O30" s="8">
        <v>55</v>
      </c>
      <c r="P30" s="8">
        <v>54</v>
      </c>
      <c r="Q30" s="2">
        <f>(Table13[Terpakai]+Table13[[#This Row],[Staging]])/Table13[Qty Lokasi]</f>
        <v>0.83823529411764708</v>
      </c>
      <c r="R30" s="2">
        <f>Table13[Max]-Table13[Occupancy]</f>
        <v>0.16176470588235292</v>
      </c>
      <c r="S30" s="2">
        <v>1</v>
      </c>
      <c r="U30" s="3" t="s">
        <v>11</v>
      </c>
      <c r="V30" s="1">
        <v>43630</v>
      </c>
      <c r="W30" s="8">
        <v>474</v>
      </c>
      <c r="X30" s="8">
        <v>282</v>
      </c>
      <c r="Y30" s="8">
        <v>172</v>
      </c>
      <c r="Z30" s="8">
        <v>20</v>
      </c>
      <c r="AA30" s="2">
        <f>(Table7[Terpakai]+Table7[[#This Row],[Staging]])/Table7[Qty Lokasi]</f>
        <v>0.6371308016877637</v>
      </c>
      <c r="AB30" s="2">
        <f>Table7[Max]-Table7[Occupancy]</f>
        <v>0.3628691983122363</v>
      </c>
      <c r="AC30" s="2">
        <v>1</v>
      </c>
      <c r="AE30" s="26">
        <f>SUM(Table1[[#This Row],[Qty Lokasi]]+Table13[[#This Row],[Qty Lokasi]]+Table7[[#This Row],[Qty Lokasi]])</f>
        <v>4702</v>
      </c>
      <c r="AF30" s="26">
        <f>SUM(Table1[[#This Row],[Available]]+Table13[[#This Row],[Available]]+Table7[[#This Row],[Available]])</f>
        <v>1362</v>
      </c>
      <c r="AG30" s="27">
        <f>1-Table3[Available]/Table3[Total]</f>
        <v>0.71033602722245859</v>
      </c>
    </row>
    <row r="31" spans="1:33" ht="15.75">
      <c r="A31" s="1" t="s">
        <v>9</v>
      </c>
      <c r="B31" s="1">
        <v>43631</v>
      </c>
      <c r="C31" s="8">
        <v>3888</v>
      </c>
      <c r="D31" s="8">
        <v>2692</v>
      </c>
      <c r="E31" s="8">
        <v>972</v>
      </c>
      <c r="F31" s="8">
        <v>224</v>
      </c>
      <c r="G31" s="2">
        <f>(Table1[Terpakai]+Table1[[#This Row],[Staging]])/Table1[Qty Lokasi]</f>
        <v>0.75</v>
      </c>
      <c r="H31" s="2">
        <f>Table1[Max]-Table1[Occupancy]</f>
        <v>0.25</v>
      </c>
      <c r="I31" s="2">
        <v>1</v>
      </c>
      <c r="K31" s="1" t="s">
        <v>10</v>
      </c>
      <c r="L31" s="1">
        <v>43631</v>
      </c>
      <c r="M31" s="8">
        <v>340</v>
      </c>
      <c r="N31" s="8">
        <v>229</v>
      </c>
      <c r="O31" s="8">
        <v>103</v>
      </c>
      <c r="P31" s="8">
        <v>8</v>
      </c>
      <c r="Q31" s="2">
        <f>(Table13[Terpakai]+Table13[[#This Row],[Staging]])/Table13[Qty Lokasi]</f>
        <v>0.69705882352941173</v>
      </c>
      <c r="R31" s="2">
        <f>Table13[Max]-Table13[Occupancy]</f>
        <v>0.30294117647058827</v>
      </c>
      <c r="S31" s="2">
        <v>1</v>
      </c>
      <c r="U31" s="3" t="s">
        <v>11</v>
      </c>
      <c r="V31" s="1">
        <v>43631</v>
      </c>
      <c r="W31" s="8">
        <v>474</v>
      </c>
      <c r="X31" s="8">
        <v>305</v>
      </c>
      <c r="Y31" s="8">
        <v>143</v>
      </c>
      <c r="Z31" s="8">
        <v>26</v>
      </c>
      <c r="AA31" s="2">
        <f>(Table7[Terpakai]+Table7[[#This Row],[Staging]])/Table7[Qty Lokasi]</f>
        <v>0.69831223628691985</v>
      </c>
      <c r="AB31" s="2">
        <f>Table7[Max]-Table7[Occupancy]</f>
        <v>0.30168776371308015</v>
      </c>
      <c r="AC31" s="2">
        <v>1</v>
      </c>
      <c r="AE31" s="26">
        <f>SUM(Table1[[#This Row],[Qty Lokasi]]+Table13[[#This Row],[Qty Lokasi]]+Table7[[#This Row],[Qty Lokasi]])</f>
        <v>4702</v>
      </c>
      <c r="AF31" s="26">
        <f>SUM(Table1[[#This Row],[Available]]+Table13[[#This Row],[Available]]+Table7[[#This Row],[Available]])</f>
        <v>1218</v>
      </c>
      <c r="AG31" s="27">
        <f>1-Table3[Available]/Table3[Total]</f>
        <v>0.74096129306678016</v>
      </c>
    </row>
    <row r="32" spans="1:33" ht="15.75">
      <c r="A32" s="1" t="s">
        <v>9</v>
      </c>
      <c r="B32" s="1">
        <v>43633</v>
      </c>
      <c r="C32" s="8">
        <v>3888</v>
      </c>
      <c r="D32" s="8">
        <v>2744</v>
      </c>
      <c r="E32" s="8">
        <v>963</v>
      </c>
      <c r="F32" s="8">
        <v>181</v>
      </c>
      <c r="G32" s="2">
        <f>(Table1[Terpakai]+Table1[[#This Row],[Staging]])/Table1[Qty Lokasi]</f>
        <v>0.75231481481481477</v>
      </c>
      <c r="H32" s="2">
        <f>Table1[Max]-Table1[Occupancy]</f>
        <v>0.24768518518518523</v>
      </c>
      <c r="I32" s="2">
        <v>1</v>
      </c>
      <c r="K32" s="1" t="s">
        <v>10</v>
      </c>
      <c r="L32" s="1">
        <v>43633</v>
      </c>
      <c r="M32" s="8">
        <v>340</v>
      </c>
      <c r="N32" s="8">
        <v>232</v>
      </c>
      <c r="O32" s="8">
        <v>107</v>
      </c>
      <c r="P32" s="8">
        <v>1</v>
      </c>
      <c r="Q32" s="2">
        <f>(Table13[Terpakai]+Table13[[#This Row],[Staging]])/Table13[Qty Lokasi]</f>
        <v>0.68529411764705883</v>
      </c>
      <c r="R32" s="2">
        <f>Table13[Max]-Table13[Occupancy]</f>
        <v>0.31470588235294117</v>
      </c>
      <c r="S32" s="2">
        <v>1</v>
      </c>
      <c r="U32" s="3" t="s">
        <v>11</v>
      </c>
      <c r="V32" s="1">
        <v>43633</v>
      </c>
      <c r="W32" s="8">
        <v>474</v>
      </c>
      <c r="X32" s="8">
        <v>312</v>
      </c>
      <c r="Y32" s="8">
        <v>15</v>
      </c>
      <c r="Z32" s="8">
        <v>147</v>
      </c>
      <c r="AA32" s="2">
        <f>(Table7[Terpakai]+Table7[[#This Row],[Staging]])/Table7[Qty Lokasi]</f>
        <v>0.96835443037974689</v>
      </c>
      <c r="AB32" s="2">
        <f>Table7[Max]-Table7[Occupancy]</f>
        <v>3.1645569620253111E-2</v>
      </c>
      <c r="AC32" s="2">
        <v>1</v>
      </c>
      <c r="AE32" s="26">
        <f>SUM(Table1[[#This Row],[Qty Lokasi]]+Table13[[#This Row],[Qty Lokasi]]+Table7[[#This Row],[Qty Lokasi]])</f>
        <v>4702</v>
      </c>
      <c r="AF32" s="26">
        <f>SUM(Table1[[#This Row],[Available]]+Table13[[#This Row],[Available]]+Table7[[#This Row],[Available]])</f>
        <v>1085</v>
      </c>
      <c r="AG32" s="27">
        <f>1-Table3[Available]/Table3[Total]</f>
        <v>0.76924712888132707</v>
      </c>
    </row>
    <row r="33" spans="1:33" ht="15.75">
      <c r="A33" s="1" t="s">
        <v>9</v>
      </c>
      <c r="B33" s="1">
        <v>43634</v>
      </c>
      <c r="C33" s="8">
        <v>3888</v>
      </c>
      <c r="D33" s="8">
        <v>2849</v>
      </c>
      <c r="E33" s="8">
        <v>871</v>
      </c>
      <c r="F33" s="8">
        <v>168</v>
      </c>
      <c r="G33" s="2">
        <f>(Table1[Terpakai]+Table1[[#This Row],[Staging]])/Table1[Qty Lokasi]</f>
        <v>0.77597736625514402</v>
      </c>
      <c r="H33" s="2">
        <f>Table1[Max]-Table1[Occupancy]</f>
        <v>0.22402263374485598</v>
      </c>
      <c r="I33" s="2">
        <v>1</v>
      </c>
      <c r="K33" s="1" t="s">
        <v>10</v>
      </c>
      <c r="L33" s="1">
        <v>43634</v>
      </c>
      <c r="M33" s="8">
        <v>340</v>
      </c>
      <c r="N33" s="8">
        <v>256</v>
      </c>
      <c r="O33" s="8">
        <v>50</v>
      </c>
      <c r="P33" s="8">
        <v>34</v>
      </c>
      <c r="Q33" s="2">
        <f>(Table13[Terpakai]+Table13[[#This Row],[Staging]])/Table13[Qty Lokasi]</f>
        <v>0.8529411764705882</v>
      </c>
      <c r="R33" s="2">
        <f>Table13[Max]-Table13[Occupancy]</f>
        <v>0.1470588235294118</v>
      </c>
      <c r="S33" s="2">
        <v>1</v>
      </c>
      <c r="U33" s="3" t="s">
        <v>11</v>
      </c>
      <c r="V33" s="1">
        <v>43634</v>
      </c>
      <c r="W33" s="8">
        <v>474</v>
      </c>
      <c r="X33" s="8">
        <v>263</v>
      </c>
      <c r="Y33" s="8">
        <v>195</v>
      </c>
      <c r="Z33" s="8">
        <v>16</v>
      </c>
      <c r="AA33" s="2">
        <f>(Table7[Terpakai]+Table7[[#This Row],[Staging]])/Table7[Qty Lokasi]</f>
        <v>0.58860759493670889</v>
      </c>
      <c r="AB33" s="2">
        <f>Table7[Max]-Table7[Occupancy]</f>
        <v>0.41139240506329111</v>
      </c>
      <c r="AC33" s="2">
        <v>1</v>
      </c>
      <c r="AE33" s="26">
        <f>SUM(Table1[[#This Row],[Qty Lokasi]]+Table13[[#This Row],[Qty Lokasi]]+Table7[[#This Row],[Qty Lokasi]])</f>
        <v>4702</v>
      </c>
      <c r="AF33" s="26">
        <f>SUM(Table1[[#This Row],[Available]]+Table13[[#This Row],[Available]]+Table7[[#This Row],[Available]])</f>
        <v>1116</v>
      </c>
      <c r="AG33" s="27">
        <f>1-Table3[Available]/Table3[Total]</f>
        <v>0.76265418970650789</v>
      </c>
    </row>
    <row r="34" spans="1:33" ht="15.75">
      <c r="A34" s="1" t="s">
        <v>9</v>
      </c>
      <c r="B34" s="1">
        <v>43635</v>
      </c>
      <c r="C34" s="8">
        <v>3888</v>
      </c>
      <c r="D34" s="8">
        <v>2876</v>
      </c>
      <c r="E34" s="8">
        <v>783</v>
      </c>
      <c r="F34" s="8">
        <v>229</v>
      </c>
      <c r="G34" s="2">
        <f>(Table1[Terpakai]+Table1[[#This Row],[Staging]])/Table1[Qty Lokasi]</f>
        <v>0.79861111111111116</v>
      </c>
      <c r="H34" s="2">
        <f>Table1[Max]-Table1[Occupancy]</f>
        <v>0.20138888888888884</v>
      </c>
      <c r="I34" s="2">
        <v>1</v>
      </c>
      <c r="K34" s="1" t="s">
        <v>10</v>
      </c>
      <c r="L34" s="1">
        <v>43635</v>
      </c>
      <c r="M34" s="8">
        <v>340</v>
      </c>
      <c r="N34" s="8">
        <v>240</v>
      </c>
      <c r="O34" s="8">
        <v>-28</v>
      </c>
      <c r="P34" s="8">
        <v>128</v>
      </c>
      <c r="Q34" s="2">
        <f>(Table13[Terpakai]+Table13[[#This Row],[Staging]])/Table13[Qty Lokasi]</f>
        <v>1.0823529411764705</v>
      </c>
      <c r="R34" s="2">
        <f>Table13[Max]-Table13[Occupancy]</f>
        <v>-8.2352941176470518E-2</v>
      </c>
      <c r="S34" s="2">
        <v>1</v>
      </c>
      <c r="U34" s="3" t="s">
        <v>11</v>
      </c>
      <c r="V34" s="1">
        <v>43635</v>
      </c>
      <c r="W34" s="8">
        <v>527</v>
      </c>
      <c r="X34" s="8">
        <v>345</v>
      </c>
      <c r="Y34" s="8">
        <v>100</v>
      </c>
      <c r="Z34" s="8">
        <v>82</v>
      </c>
      <c r="AA34" s="2">
        <f>(Table7[Terpakai]+Table7[[#This Row],[Staging]])/Table7[Qty Lokasi]</f>
        <v>0.8102466793168881</v>
      </c>
      <c r="AB34" s="2">
        <f>Table7[Max]-Table7[Occupancy]</f>
        <v>0.1897533206831119</v>
      </c>
      <c r="AC34" s="2">
        <v>1</v>
      </c>
      <c r="AE34" s="26">
        <f>SUM(Table1[[#This Row],[Qty Lokasi]]+Table13[[#This Row],[Qty Lokasi]]+Table7[[#This Row],[Qty Lokasi]])</f>
        <v>4755</v>
      </c>
      <c r="AF34" s="26">
        <f>SUM(Table1[[#This Row],[Available]]+Table13[[#This Row],[Available]]+Table7[[#This Row],[Available]])</f>
        <v>855</v>
      </c>
      <c r="AG34" s="27">
        <f>1-Table3[Available]/Table3[Total]</f>
        <v>0.82018927444794953</v>
      </c>
    </row>
    <row r="35" spans="1:33" ht="15.75">
      <c r="A35" s="1" t="s">
        <v>9</v>
      </c>
      <c r="B35" s="1">
        <v>43636</v>
      </c>
      <c r="C35" s="8">
        <v>3888</v>
      </c>
      <c r="D35" s="8">
        <v>2908</v>
      </c>
      <c r="E35" s="8">
        <v>807</v>
      </c>
      <c r="F35" s="8">
        <v>173</v>
      </c>
      <c r="G35" s="2">
        <f>(Table1[Terpakai]+Table1[[#This Row],[Staging]])/Table1[Qty Lokasi]</f>
        <v>0.79243827160493829</v>
      </c>
      <c r="H35" s="2">
        <f>Table1[Max]-Table1[Occupancy]</f>
        <v>0.20756172839506171</v>
      </c>
      <c r="I35" s="2">
        <v>1</v>
      </c>
      <c r="K35" s="1" t="s">
        <v>10</v>
      </c>
      <c r="L35" s="1">
        <v>43636</v>
      </c>
      <c r="M35" s="8">
        <v>340</v>
      </c>
      <c r="N35" s="8">
        <v>269</v>
      </c>
      <c r="O35" s="8">
        <v>-4</v>
      </c>
      <c r="P35" s="8">
        <v>75</v>
      </c>
      <c r="Q35" s="2">
        <f>(Table13[Terpakai]+Table13[[#This Row],[Staging]])/Table13[Qty Lokasi]</f>
        <v>1.0117647058823529</v>
      </c>
      <c r="R35" s="2">
        <f>Table13[Max]-Table13[Occupancy]</f>
        <v>-1.1764705882352899E-2</v>
      </c>
      <c r="S35" s="2">
        <v>1</v>
      </c>
      <c r="U35" s="3" t="s">
        <v>11</v>
      </c>
      <c r="V35" s="1">
        <v>43636</v>
      </c>
      <c r="W35" s="8">
        <v>527</v>
      </c>
      <c r="X35" s="8">
        <v>297</v>
      </c>
      <c r="Y35" s="8">
        <v>96</v>
      </c>
      <c r="Z35" s="8">
        <v>134</v>
      </c>
      <c r="AA35" s="2">
        <f>(Table7[Terpakai]+Table7[[#This Row],[Staging]])/Table7[Qty Lokasi]</f>
        <v>0.81783681214421255</v>
      </c>
      <c r="AB35" s="2">
        <f>Table7[Max]-Table7[Occupancy]</f>
        <v>0.18216318785578745</v>
      </c>
      <c r="AC35" s="2">
        <v>1</v>
      </c>
      <c r="AE35" s="26">
        <f>SUM(Table1[[#This Row],[Qty Lokasi]]+Table13[[#This Row],[Qty Lokasi]]+Table7[[#This Row],[Qty Lokasi]])</f>
        <v>4755</v>
      </c>
      <c r="AF35" s="26">
        <f>SUM(Table1[[#This Row],[Available]]+Table13[[#This Row],[Available]]+Table7[[#This Row],[Available]])</f>
        <v>899</v>
      </c>
      <c r="AG35" s="27">
        <f>1-Table3[Available]/Table3[Total]</f>
        <v>0.81093585699263926</v>
      </c>
    </row>
    <row r="36" spans="1:33" ht="15.75">
      <c r="A36" s="1" t="s">
        <v>9</v>
      </c>
      <c r="B36" s="1">
        <v>43637</v>
      </c>
      <c r="C36" s="7">
        <v>3888</v>
      </c>
      <c r="D36" s="7">
        <v>2873</v>
      </c>
      <c r="E36" s="7">
        <v>876</v>
      </c>
      <c r="F36" s="7">
        <v>139</v>
      </c>
      <c r="G36" s="2">
        <f>(Table1[Terpakai]+Table1[[#This Row],[Staging]])/Table1[Qty Lokasi]</f>
        <v>0.77469135802469136</v>
      </c>
      <c r="H36" s="2">
        <f>Table1[Max]-Table1[Occupancy]</f>
        <v>0.22530864197530864</v>
      </c>
      <c r="I36" s="2">
        <v>1</v>
      </c>
      <c r="K36" s="1" t="s">
        <v>10</v>
      </c>
      <c r="L36" s="1">
        <v>43637</v>
      </c>
      <c r="M36" s="8">
        <v>376</v>
      </c>
      <c r="N36" s="8">
        <v>261</v>
      </c>
      <c r="O36" s="8">
        <v>12</v>
      </c>
      <c r="P36" s="8">
        <v>103</v>
      </c>
      <c r="Q36" s="2">
        <f>(Table13[Terpakai]+Table13[[#This Row],[Staging]])/Table13[Qty Lokasi]</f>
        <v>0.96808510638297873</v>
      </c>
      <c r="R36" s="2">
        <f>Table13[Max]-Table13[Occupancy]</f>
        <v>3.1914893617021267E-2</v>
      </c>
      <c r="S36" s="2">
        <v>1</v>
      </c>
      <c r="U36" s="3" t="s">
        <v>11</v>
      </c>
      <c r="V36" s="1">
        <v>43637</v>
      </c>
      <c r="W36" s="8">
        <v>491</v>
      </c>
      <c r="X36" s="8">
        <v>363</v>
      </c>
      <c r="Y36" s="8">
        <v>45</v>
      </c>
      <c r="Z36" s="8">
        <v>83</v>
      </c>
      <c r="AA36" s="2">
        <f>(Table7[Terpakai]+Table7[[#This Row],[Staging]])/Table7[Qty Lokasi]</f>
        <v>0.90835030549898166</v>
      </c>
      <c r="AB36" s="2">
        <f>Table7[Max]-Table7[Occupancy]</f>
        <v>9.1649694501018342E-2</v>
      </c>
      <c r="AC36" s="2">
        <v>1</v>
      </c>
      <c r="AE36" s="26">
        <f>SUM(Table1[[#This Row],[Qty Lokasi]]+Table13[[#This Row],[Qty Lokasi]]+Table7[[#This Row],[Qty Lokasi]])</f>
        <v>4755</v>
      </c>
      <c r="AF36" s="26">
        <f>SUM(Table1[[#This Row],[Available]]+Table13[[#This Row],[Available]]+Table7[[#This Row],[Available]])</f>
        <v>933</v>
      </c>
      <c r="AG36" s="27">
        <f>1-Table3[Available]/Table3[Total]</f>
        <v>0.8037854889589906</v>
      </c>
    </row>
    <row r="37" spans="1:33" ht="15.75">
      <c r="A37" s="1" t="s">
        <v>9</v>
      </c>
      <c r="B37" s="1">
        <v>43640</v>
      </c>
      <c r="C37" s="7">
        <v>3888</v>
      </c>
      <c r="D37" s="7">
        <v>2855</v>
      </c>
      <c r="E37" s="7">
        <v>988</v>
      </c>
      <c r="F37" s="7">
        <v>45</v>
      </c>
      <c r="G37" s="2">
        <f>(Table1[Terpakai]+Table1[[#This Row],[Staging]])/Table1[Qty Lokasi]</f>
        <v>0.74588477366255146</v>
      </c>
      <c r="H37" s="2">
        <f>Table1[Max]-Table1[Occupancy]</f>
        <v>0.25411522633744854</v>
      </c>
      <c r="I37" s="2">
        <v>1</v>
      </c>
      <c r="K37" s="1" t="s">
        <v>10</v>
      </c>
      <c r="L37" s="1">
        <v>43640</v>
      </c>
      <c r="M37" s="7">
        <v>376</v>
      </c>
      <c r="N37" s="7">
        <v>274</v>
      </c>
      <c r="O37" s="7">
        <v>76</v>
      </c>
      <c r="P37" s="7">
        <v>26</v>
      </c>
      <c r="Q37" s="2">
        <f>(Table13[Terpakai]+Table13[[#This Row],[Staging]])/Table13[Qty Lokasi]</f>
        <v>0.7978723404255319</v>
      </c>
      <c r="R37" s="2">
        <f>Table13[Max]-Table13[Occupancy]</f>
        <v>0.2021276595744681</v>
      </c>
      <c r="S37" s="2">
        <v>1</v>
      </c>
      <c r="U37" s="3" t="s">
        <v>11</v>
      </c>
      <c r="V37" s="1">
        <v>43640</v>
      </c>
      <c r="W37" s="8">
        <v>491</v>
      </c>
      <c r="X37" s="8">
        <v>391</v>
      </c>
      <c r="Y37" s="8">
        <v>7</v>
      </c>
      <c r="Z37" s="8">
        <v>93</v>
      </c>
      <c r="AA37" s="2">
        <f>(Table7[Terpakai]+Table7[[#This Row],[Staging]])/Table7[Qty Lokasi]</f>
        <v>0.98574338085539714</v>
      </c>
      <c r="AB37" s="2">
        <f>Table7[Max]-Table7[Occupancy]</f>
        <v>1.4256619144602856E-2</v>
      </c>
      <c r="AC37" s="2">
        <v>1</v>
      </c>
      <c r="AE37" s="26">
        <f>SUM(Table1[[#This Row],[Qty Lokasi]]+Table13[[#This Row],[Qty Lokasi]]+Table7[[#This Row],[Qty Lokasi]])</f>
        <v>4755</v>
      </c>
      <c r="AF37" s="26">
        <f>SUM(Table1[[#This Row],[Available]]+Table13[[#This Row],[Available]]+Table7[[#This Row],[Available]])</f>
        <v>1071</v>
      </c>
      <c r="AG37" s="27">
        <f>1-Table3[Available]/Table3[Total]</f>
        <v>0.77476340694006307</v>
      </c>
    </row>
    <row r="38" spans="1:33" ht="15.75">
      <c r="A38" s="1" t="s">
        <v>9</v>
      </c>
      <c r="B38" s="1">
        <v>43641</v>
      </c>
      <c r="C38" s="14">
        <v>3854</v>
      </c>
      <c r="D38" s="14">
        <v>2687</v>
      </c>
      <c r="E38" s="14">
        <v>1074</v>
      </c>
      <c r="F38" s="14">
        <v>93</v>
      </c>
      <c r="G38" s="9">
        <f>(Table1[Terpakai]+Table1[[#This Row],[Staging]])/Table1[Qty Lokasi]</f>
        <v>0.72132848988064346</v>
      </c>
      <c r="H38" s="9">
        <f>Table1[Max]-Table1[Occupancy]</f>
        <v>0.27867151011935654</v>
      </c>
      <c r="I38" s="2">
        <v>1</v>
      </c>
      <c r="K38" s="1" t="s">
        <v>10</v>
      </c>
      <c r="L38" s="1">
        <v>43641</v>
      </c>
      <c r="M38" s="7">
        <v>376</v>
      </c>
      <c r="N38" s="7">
        <v>276</v>
      </c>
      <c r="O38" s="7">
        <v>51</v>
      </c>
      <c r="P38" s="7">
        <v>49</v>
      </c>
      <c r="Q38" s="9">
        <f>(Table13[Terpakai]+Table13[[#This Row],[Staging]])/Table13[Qty Lokasi]</f>
        <v>0.86436170212765961</v>
      </c>
      <c r="R38" s="9">
        <f>Table13[Max]-Table13[Occupancy]</f>
        <v>0.13563829787234039</v>
      </c>
      <c r="S38" s="2">
        <v>1</v>
      </c>
      <c r="U38" s="3" t="s">
        <v>11</v>
      </c>
      <c r="V38" s="1">
        <v>43641</v>
      </c>
      <c r="W38" s="8">
        <v>525</v>
      </c>
      <c r="X38" s="8">
        <v>450</v>
      </c>
      <c r="Y38" s="8">
        <v>-19</v>
      </c>
      <c r="Z38" s="8">
        <v>94</v>
      </c>
      <c r="AA38" s="9">
        <f>(Table7[Terpakai]+Table7[[#This Row],[Staging]])/Table7[Qty Lokasi]</f>
        <v>1.0361904761904761</v>
      </c>
      <c r="AB38" s="9">
        <f>Table7[Max]-Table7[Occupancy]</f>
        <v>-3.6190476190476106E-2</v>
      </c>
      <c r="AC38" s="2">
        <v>1</v>
      </c>
      <c r="AE38" s="26">
        <f>SUM(Table1[[#This Row],[Qty Lokasi]]+Table13[[#This Row],[Qty Lokasi]]+Table7[[#This Row],[Qty Lokasi]])</f>
        <v>4755</v>
      </c>
      <c r="AF38" s="26">
        <f>SUM(Table1[[#This Row],[Available]]+Table13[[#This Row],[Available]]+Table7[[#This Row],[Available]])</f>
        <v>1106</v>
      </c>
      <c r="AG38" s="27">
        <f>1-Table3[Available]/Table3[Total]</f>
        <v>0.76740273396424818</v>
      </c>
    </row>
    <row r="39" spans="1:33" ht="15.75">
      <c r="A39" s="1" t="s">
        <v>9</v>
      </c>
      <c r="B39" s="1">
        <v>43642</v>
      </c>
      <c r="C39" s="20">
        <v>3854</v>
      </c>
      <c r="D39" s="20">
        <v>2708</v>
      </c>
      <c r="E39" s="20">
        <v>924</v>
      </c>
      <c r="F39" s="20">
        <v>222</v>
      </c>
      <c r="G39" s="9">
        <f>(Table1[Terpakai]+Table1[[#This Row],[Staging]])/Table1[Qty Lokasi]</f>
        <v>0.76024909185262068</v>
      </c>
      <c r="H39" s="9">
        <f>Table1[Max]-Table1[Occupancy]</f>
        <v>0.23975090814737932</v>
      </c>
      <c r="I39" s="2">
        <v>1</v>
      </c>
      <c r="K39" s="1" t="s">
        <v>10</v>
      </c>
      <c r="L39" s="1">
        <v>43641</v>
      </c>
      <c r="M39" s="12">
        <v>376</v>
      </c>
      <c r="N39" s="12">
        <v>298</v>
      </c>
      <c r="O39" s="12">
        <v>-35</v>
      </c>
      <c r="P39" s="12">
        <v>113</v>
      </c>
      <c r="Q39" s="9">
        <f>(Table13[Terpakai]+Table13[[#This Row],[Staging]])/Table13[Qty Lokasi]</f>
        <v>1.0930851063829787</v>
      </c>
      <c r="R39" s="9">
        <f>Table13[Max]-Table13[Occupancy]</f>
        <v>-9.3085106382978733E-2</v>
      </c>
      <c r="S39" s="2">
        <v>1</v>
      </c>
      <c r="U39" s="3" t="s">
        <v>11</v>
      </c>
      <c r="V39" s="1">
        <v>43642</v>
      </c>
      <c r="W39" s="20">
        <v>525</v>
      </c>
      <c r="X39" s="20">
        <v>442</v>
      </c>
      <c r="Y39" s="20">
        <v>-11</v>
      </c>
      <c r="Z39" s="20">
        <v>94</v>
      </c>
      <c r="AA39" s="9">
        <f>(Table7[Terpakai]+Table7[[#This Row],[Staging]])/Table7[Qty Lokasi]</f>
        <v>1.0209523809523811</v>
      </c>
      <c r="AB39" s="9">
        <f>Table7[Max]-Table7[Occupancy]</f>
        <v>-2.0952380952381056E-2</v>
      </c>
      <c r="AC39" s="2">
        <v>1</v>
      </c>
      <c r="AE39" s="26">
        <f>SUM(Table1[[#This Row],[Qty Lokasi]]+Table13[[#This Row],[Qty Lokasi]]+Table7[[#This Row],[Qty Lokasi]])</f>
        <v>4755</v>
      </c>
      <c r="AF39" s="26">
        <f>SUM(Table1[[#This Row],[Available]]+Table13[[#This Row],[Available]]+Table7[[#This Row],[Available]])</f>
        <v>878</v>
      </c>
      <c r="AG39" s="27">
        <f>1-Table3[Available]/Table3[Total]</f>
        <v>0.81535226077812828</v>
      </c>
    </row>
    <row r="40" spans="1:33" ht="15.75">
      <c r="A40" s="1" t="s">
        <v>9</v>
      </c>
      <c r="B40" s="1">
        <v>43643</v>
      </c>
      <c r="C40" s="21">
        <v>3820</v>
      </c>
      <c r="D40" s="21">
        <v>2839</v>
      </c>
      <c r="E40" s="21">
        <v>814</v>
      </c>
      <c r="F40" s="21">
        <v>167</v>
      </c>
      <c r="G40" s="9">
        <f>(Table1[Terpakai]+Table1[[#This Row],[Staging]])/Table1[Qty Lokasi]</f>
        <v>0.78691099476439785</v>
      </c>
      <c r="H40" s="9">
        <f>Table1[Max]-Table1[Occupancy]</f>
        <v>0.21308900523560215</v>
      </c>
      <c r="I40" s="2">
        <v>1</v>
      </c>
      <c r="K40" s="1" t="s">
        <v>10</v>
      </c>
      <c r="L40" s="1">
        <v>43643</v>
      </c>
      <c r="M40" s="21">
        <v>376</v>
      </c>
      <c r="N40" s="21">
        <v>321</v>
      </c>
      <c r="O40" s="21">
        <v>-89</v>
      </c>
      <c r="P40" s="21">
        <v>144</v>
      </c>
      <c r="Q40" s="9">
        <f>(Table13[Terpakai]+Table13[[#This Row],[Staging]])/Table13[Qty Lokasi]</f>
        <v>1.2367021276595744</v>
      </c>
      <c r="R40" s="9">
        <f>Table13[Max]-Table13[Occupancy]</f>
        <v>-0.23670212765957444</v>
      </c>
      <c r="S40" s="2">
        <v>1</v>
      </c>
      <c r="U40" s="3" t="s">
        <v>11</v>
      </c>
      <c r="V40" s="1">
        <v>43643</v>
      </c>
      <c r="W40" s="22">
        <v>559</v>
      </c>
      <c r="X40" s="22">
        <v>470</v>
      </c>
      <c r="Y40" s="22">
        <v>19</v>
      </c>
      <c r="Z40" s="22">
        <v>70</v>
      </c>
      <c r="AA40" s="9">
        <f>(Table7[Terpakai]+Table7[[#This Row],[Staging]])/Table7[Qty Lokasi]</f>
        <v>0.96601073345259392</v>
      </c>
      <c r="AB40" s="9">
        <f>Table7[Max]-Table7[Occupancy]</f>
        <v>3.3989266547406083E-2</v>
      </c>
      <c r="AC40" s="2">
        <v>1</v>
      </c>
      <c r="AE40" s="26">
        <f>SUM(Table1[[#This Row],[Qty Lokasi]]+Table13[[#This Row],[Qty Lokasi]]+Table7[[#This Row],[Qty Lokasi]])</f>
        <v>4755</v>
      </c>
      <c r="AF40" s="26">
        <f>SUM(Table1[[#This Row],[Available]]+Table13[[#This Row],[Available]]+Table7[[#This Row],[Available]])</f>
        <v>744</v>
      </c>
      <c r="AG40" s="27">
        <f>1-Table3[Available]/Table3[Total]</f>
        <v>0.84353312302839112</v>
      </c>
    </row>
    <row r="41" spans="1:33">
      <c r="A41" s="1" t="s">
        <v>9</v>
      </c>
      <c r="B41" s="1">
        <v>43644</v>
      </c>
      <c r="C41" s="21">
        <v>3820</v>
      </c>
      <c r="D41" s="21">
        <v>2912</v>
      </c>
      <c r="E41" s="21">
        <v>876</v>
      </c>
      <c r="F41" s="21">
        <v>32</v>
      </c>
      <c r="G41" s="9">
        <f>(Table1[Terpakai]+Table1[[#This Row],[Staging]])/Table1[Qty Lokasi]</f>
        <v>0.77068062827225126</v>
      </c>
      <c r="H41" s="9">
        <f>Table1[Max]-Table1[Occupancy]</f>
        <v>0.22931937172774874</v>
      </c>
      <c r="I41" s="2">
        <v>1</v>
      </c>
      <c r="K41" s="1" t="s">
        <v>10</v>
      </c>
      <c r="L41" s="1">
        <v>43644</v>
      </c>
      <c r="M41" s="12">
        <v>408</v>
      </c>
      <c r="N41" s="12">
        <v>356</v>
      </c>
      <c r="O41" s="12">
        <v>-86</v>
      </c>
      <c r="P41" s="12">
        <v>138</v>
      </c>
      <c r="Q41" s="9">
        <f>(Table13[Terpakai]+Table13[[#This Row],[Staging]])/Table13[Qty Lokasi]</f>
        <v>1.2107843137254901</v>
      </c>
      <c r="R41" s="9">
        <f>Table13[Max]-Table13[Occupancy]</f>
        <v>-0.21078431372549011</v>
      </c>
      <c r="S41" s="2">
        <v>1</v>
      </c>
      <c r="U41" s="3" t="s">
        <v>11</v>
      </c>
      <c r="V41" s="1">
        <v>43644</v>
      </c>
      <c r="W41" s="12">
        <v>525</v>
      </c>
      <c r="X41" s="12">
        <v>413</v>
      </c>
      <c r="Y41" s="12">
        <v>6</v>
      </c>
      <c r="Z41" s="12">
        <v>106</v>
      </c>
      <c r="AA41" s="9">
        <f>(Table7[Terpakai]+Table7[[#This Row],[Staging]])/Table7[Qty Lokasi]</f>
        <v>0.98857142857142855</v>
      </c>
      <c r="AB41" s="9">
        <f>Table7[Max]-Table7[Occupancy]</f>
        <v>1.1428571428571455E-2</v>
      </c>
      <c r="AC41" s="2">
        <v>1</v>
      </c>
      <c r="AE41" s="26">
        <f>SUM(Table1[[#This Row],[Qty Lokasi]]+Table13[[#This Row],[Qty Lokasi]]+Table7[[#This Row],[Qty Lokasi]])</f>
        <v>4753</v>
      </c>
      <c r="AF41" s="26">
        <f>SUM(Table1[[#This Row],[Available]]+Table13[[#This Row],[Available]]+Table7[[#This Row],[Available]])</f>
        <v>796</v>
      </c>
      <c r="AG41" s="27">
        <f>1-Table3[Available]/Table3[Total]</f>
        <v>0.83252682516305487</v>
      </c>
    </row>
    <row r="42" spans="1:33">
      <c r="A42" s="18" t="s">
        <v>9</v>
      </c>
      <c r="B42" s="18">
        <v>43647</v>
      </c>
      <c r="C42" s="15">
        <v>3820</v>
      </c>
      <c r="D42" s="15">
        <v>2854</v>
      </c>
      <c r="E42" s="15">
        <v>941</v>
      </c>
      <c r="F42" s="15">
        <v>25</v>
      </c>
      <c r="G42" s="16">
        <f>(Table1[Terpakai]+Table1[[#This Row],[Staging]])/Table1[Qty Lokasi]</f>
        <v>0.75366492146596864</v>
      </c>
      <c r="H42" s="16">
        <f>Table1[Max]-Table1[Occupancy]</f>
        <v>0.24633507853403136</v>
      </c>
      <c r="I42" s="17">
        <v>1</v>
      </c>
      <c r="K42" s="1" t="s">
        <v>10</v>
      </c>
      <c r="L42" s="1">
        <v>43647</v>
      </c>
      <c r="M42" s="12">
        <v>408</v>
      </c>
      <c r="N42" s="12">
        <v>363</v>
      </c>
      <c r="O42" s="12">
        <v>-69</v>
      </c>
      <c r="P42" s="12">
        <v>114</v>
      </c>
      <c r="Q42" s="9">
        <f>(Table13[Terpakai]+Table13[[#This Row],[Staging]])/Table13[Qty Lokasi]</f>
        <v>1.1691176470588236</v>
      </c>
      <c r="R42" s="9">
        <f>Table13[Max]-Table13[Occupancy]</f>
        <v>-0.16911764705882359</v>
      </c>
      <c r="S42" s="2">
        <v>1</v>
      </c>
      <c r="U42" s="3" t="s">
        <v>11</v>
      </c>
      <c r="V42" s="1">
        <v>43647</v>
      </c>
      <c r="W42" s="12">
        <v>525</v>
      </c>
      <c r="X42" s="12">
        <v>437</v>
      </c>
      <c r="Y42" s="12">
        <v>-52</v>
      </c>
      <c r="Z42" s="12">
        <v>140</v>
      </c>
      <c r="AA42" s="9">
        <f>(Table7[Terpakai]+Table7[[#This Row],[Staging]])/Table7[Qty Lokasi]</f>
        <v>1.0990476190476191</v>
      </c>
      <c r="AB42" s="9">
        <f>Table7[Max]-Table7[Occupancy]</f>
        <v>-9.9047619047619051E-2</v>
      </c>
      <c r="AC42" s="2">
        <v>1</v>
      </c>
      <c r="AE42" s="26">
        <f>SUM(Table1[[#This Row],[Qty Lokasi]]+Table13[[#This Row],[Qty Lokasi]]+Table7[[#This Row],[Qty Lokasi]])</f>
        <v>4753</v>
      </c>
      <c r="AF42" s="26">
        <f>SUM(Table1[[#This Row],[Available]]+Table13[[#This Row],[Available]]+Table7[[#This Row],[Available]])</f>
        <v>820</v>
      </c>
      <c r="AG42" s="27">
        <f>1-Table3[Available]/Table3[Total]</f>
        <v>0.82747738270565963</v>
      </c>
    </row>
    <row r="43" spans="1:33">
      <c r="A43" s="18" t="s">
        <v>9</v>
      </c>
      <c r="B43" s="1">
        <v>43648</v>
      </c>
      <c r="C43" s="12">
        <v>3820</v>
      </c>
      <c r="D43" s="12">
        <v>2787</v>
      </c>
      <c r="E43" s="12">
        <v>975</v>
      </c>
      <c r="F43" s="12">
        <v>58</v>
      </c>
      <c r="G43" s="19">
        <f>(Table1[Terpakai]+Table1[[#This Row],[Staging]])/Table1[Qty Lokasi]</f>
        <v>0.74476439790575921</v>
      </c>
      <c r="H43" s="9">
        <f>Table1[Max]-Table1[Occupancy]</f>
        <v>0.25523560209424079</v>
      </c>
      <c r="I43" s="17">
        <v>1</v>
      </c>
      <c r="K43" s="1" t="s">
        <v>10</v>
      </c>
      <c r="L43" s="1">
        <v>43648</v>
      </c>
      <c r="M43" s="12">
        <v>408</v>
      </c>
      <c r="N43" s="12">
        <v>349</v>
      </c>
      <c r="O43" s="12">
        <v>-94</v>
      </c>
      <c r="P43" s="12">
        <v>153</v>
      </c>
      <c r="Q43" s="9">
        <f>(Table13[Terpakai]+Table13[[#This Row],[Staging]])/Table13[Qty Lokasi]</f>
        <v>1.2303921568627452</v>
      </c>
      <c r="R43" s="9">
        <f>Table13[Max]-Table13[Occupancy]</f>
        <v>-0.23039215686274517</v>
      </c>
      <c r="S43" s="2">
        <v>1</v>
      </c>
      <c r="U43" s="3" t="s">
        <v>11</v>
      </c>
      <c r="V43" s="1">
        <v>43648</v>
      </c>
      <c r="W43" s="12">
        <v>627</v>
      </c>
      <c r="X43" s="12">
        <v>514</v>
      </c>
      <c r="Y43" s="12">
        <v>65</v>
      </c>
      <c r="Z43" s="12">
        <v>48</v>
      </c>
      <c r="AA43" s="9">
        <f>(Table7[Terpakai]+Table7[[#This Row],[Staging]])/Table7[Qty Lokasi]</f>
        <v>0.89633173843700165</v>
      </c>
      <c r="AB43" s="9">
        <f>Table7[Max]-Table7[Occupancy]</f>
        <v>0.10366826156299835</v>
      </c>
      <c r="AC43" s="2">
        <v>1</v>
      </c>
      <c r="AE43" s="26">
        <f>SUM(Table1[[#This Row],[Qty Lokasi]]+Table13[[#This Row],[Qty Lokasi]]+Table7[[#This Row],[Qty Lokasi]])</f>
        <v>4855</v>
      </c>
      <c r="AF43" s="26">
        <f>SUM(Table1[[#This Row],[Available]]+Table13[[#This Row],[Available]]+Table7[[#This Row],[Available]])</f>
        <v>946</v>
      </c>
      <c r="AG43" s="27">
        <f>1-Table3[Available]/Table3[Total]</f>
        <v>0.80514933058702365</v>
      </c>
    </row>
    <row r="44" spans="1:33">
      <c r="A44" s="18" t="s">
        <v>9</v>
      </c>
      <c r="B44" s="1">
        <v>43649</v>
      </c>
      <c r="C44" s="12">
        <v>3820</v>
      </c>
      <c r="D44" s="12">
        <v>2717</v>
      </c>
      <c r="E44" s="12">
        <v>951</v>
      </c>
      <c r="F44" s="12">
        <v>152</v>
      </c>
      <c r="G44" s="9">
        <f>(Table1[Terpakai]+Table1[[#This Row],[Staging]])/Table1[Qty Lokasi]</f>
        <v>0.75104712041884814</v>
      </c>
      <c r="H44" s="9">
        <f>Table1[Max]-Table1[Occupancy]</f>
        <v>0.24895287958115186</v>
      </c>
      <c r="I44" s="17">
        <v>1</v>
      </c>
      <c r="K44" s="1" t="s">
        <v>10</v>
      </c>
      <c r="L44" s="1">
        <v>43649</v>
      </c>
      <c r="M44" s="12">
        <v>476</v>
      </c>
      <c r="N44" s="12">
        <v>432</v>
      </c>
      <c r="O44" s="12">
        <v>-19</v>
      </c>
      <c r="P44" s="12">
        <v>63</v>
      </c>
      <c r="Q44" s="9">
        <f>(Table13[Terpakai]+Table13[[#This Row],[Staging]])/Table13[Qty Lokasi]</f>
        <v>1.0399159663865547</v>
      </c>
      <c r="R44" s="9">
        <f>Table13[Max]-Table13[Occupancy]</f>
        <v>-3.9915966386554702E-2</v>
      </c>
      <c r="S44" s="2">
        <v>1</v>
      </c>
      <c r="U44" s="3" t="s">
        <v>11</v>
      </c>
      <c r="V44" s="1">
        <v>43649</v>
      </c>
      <c r="W44" s="12">
        <v>559</v>
      </c>
      <c r="X44" s="12">
        <v>403</v>
      </c>
      <c r="Y44" s="12">
        <v>116</v>
      </c>
      <c r="Z44" s="12">
        <v>40</v>
      </c>
      <c r="AA44" s="9">
        <f>(Table7[Terpakai]+Table7[[#This Row],[Staging]])/Table7[Qty Lokasi]</f>
        <v>0.79248658318425758</v>
      </c>
      <c r="AB44" s="9">
        <f>Table7[Max]-Table7[Occupancy]</f>
        <v>0.20751341681574242</v>
      </c>
      <c r="AC44" s="2">
        <v>1</v>
      </c>
      <c r="AE44" s="26">
        <f>SUM(Table1[[#This Row],[Qty Lokasi]]+Table13[[#This Row],[Qty Lokasi]]+Table7[[#This Row],[Qty Lokasi]])</f>
        <v>4855</v>
      </c>
      <c r="AF44" s="26">
        <f>SUM(Table1[[#This Row],[Available]]+Table13[[#This Row],[Available]]+Table7[[#This Row],[Available]])</f>
        <v>1048</v>
      </c>
      <c r="AG44" s="27">
        <f>1-Table3[Available]/Table3[Total]</f>
        <v>0.78414006179196705</v>
      </c>
    </row>
    <row r="45" spans="1:33">
      <c r="A45" s="18" t="s">
        <v>9</v>
      </c>
      <c r="B45" s="1">
        <v>43650</v>
      </c>
      <c r="C45" s="12">
        <v>3820</v>
      </c>
      <c r="D45" s="12">
        <v>2756</v>
      </c>
      <c r="E45" s="12">
        <v>831</v>
      </c>
      <c r="F45" s="12">
        <v>233</v>
      </c>
      <c r="G45" s="9">
        <f>(Table1[Terpakai]+Table1[[#This Row],[Staging]])/Table1[Qty Lokasi]</f>
        <v>0.78246073298429319</v>
      </c>
      <c r="H45" s="9">
        <f>Table1[Max]-Table1[Occupancy]</f>
        <v>0.21753926701570681</v>
      </c>
      <c r="I45" s="17">
        <v>1</v>
      </c>
      <c r="K45" s="1" t="s">
        <v>10</v>
      </c>
      <c r="L45" s="1">
        <v>43650</v>
      </c>
      <c r="M45" s="15">
        <v>476</v>
      </c>
      <c r="N45" s="15">
        <v>419</v>
      </c>
      <c r="O45" s="15">
        <v>-64</v>
      </c>
      <c r="P45" s="15">
        <v>121</v>
      </c>
      <c r="Q45" s="9">
        <f>(Table13[Terpakai]+Table13[[#This Row],[Staging]])/Table13[Qty Lokasi]</f>
        <v>1.134453781512605</v>
      </c>
      <c r="R45" s="9">
        <f>Table13[Max]-Table13[Occupancy]</f>
        <v>-0.13445378151260501</v>
      </c>
      <c r="S45" s="2">
        <v>1</v>
      </c>
      <c r="U45" s="3" t="s">
        <v>11</v>
      </c>
      <c r="V45" s="1">
        <v>43650</v>
      </c>
      <c r="W45" s="15">
        <v>559</v>
      </c>
      <c r="X45" s="15">
        <v>436</v>
      </c>
      <c r="Y45" s="15">
        <v>118</v>
      </c>
      <c r="Z45" s="15">
        <v>5</v>
      </c>
      <c r="AA45" s="9">
        <f>(Table7[Terpakai]+Table7[[#This Row],[Staging]])/Table7[Qty Lokasi]</f>
        <v>0.78890876565295165</v>
      </c>
      <c r="AB45" s="9">
        <f>Table7[Max]-Table7[Occupancy]</f>
        <v>0.21109123434704835</v>
      </c>
      <c r="AC45" s="2">
        <v>1</v>
      </c>
      <c r="AE45" s="26">
        <f>SUM(Table1[[#This Row],[Qty Lokasi]]+Table13[[#This Row],[Qty Lokasi]]+Table7[[#This Row],[Qty Lokasi]])</f>
        <v>4855</v>
      </c>
      <c r="AF45" s="26">
        <f>SUM(Table1[[#This Row],[Available]]+Table13[[#This Row],[Available]]+Table7[[#This Row],[Available]])</f>
        <v>885</v>
      </c>
      <c r="AG45" s="27">
        <f>1-Table3[Available]/Table3[Total]</f>
        <v>0.81771369721936149</v>
      </c>
    </row>
    <row r="46" spans="1:33">
      <c r="A46" s="18" t="s">
        <v>9</v>
      </c>
      <c r="B46" s="1">
        <v>43651</v>
      </c>
      <c r="C46" s="15">
        <v>3820</v>
      </c>
      <c r="D46" s="15">
        <v>2841</v>
      </c>
      <c r="E46" s="15">
        <v>843</v>
      </c>
      <c r="F46" s="15">
        <v>136</v>
      </c>
      <c r="G46" s="9">
        <f>(Table1[Terpakai]+Table1[[#This Row],[Staging]])/Table1[Qty Lokasi]</f>
        <v>0.77931937172774868</v>
      </c>
      <c r="H46" s="9">
        <f>Table1[Max]-Table1[Occupancy]</f>
        <v>0.22068062827225132</v>
      </c>
      <c r="I46" s="17">
        <v>1</v>
      </c>
      <c r="K46" s="1" t="s">
        <v>10</v>
      </c>
      <c r="L46" s="1">
        <v>43651</v>
      </c>
      <c r="M46" s="15">
        <v>590</v>
      </c>
      <c r="N46" s="15">
        <v>505</v>
      </c>
      <c r="O46" s="15">
        <v>2</v>
      </c>
      <c r="P46" s="15">
        <v>83</v>
      </c>
      <c r="Q46" s="9">
        <f>(Table13[Terpakai]+Table13[[#This Row],[Staging]])/Table13[Qty Lokasi]</f>
        <v>0.99661016949152548</v>
      </c>
      <c r="R46" s="9">
        <f>Table13[Max]-Table13[Occupancy]</f>
        <v>3.3898305084745228E-3</v>
      </c>
      <c r="S46" s="2">
        <v>1</v>
      </c>
      <c r="U46" s="3" t="s">
        <v>11</v>
      </c>
      <c r="V46" s="1">
        <v>43651</v>
      </c>
      <c r="W46" s="12">
        <v>531</v>
      </c>
      <c r="X46" s="12">
        <v>333</v>
      </c>
      <c r="Y46" s="12">
        <v>129</v>
      </c>
      <c r="Z46" s="12">
        <v>69</v>
      </c>
      <c r="AA46" s="9">
        <f>(Table7[Terpakai]+Table7[[#This Row],[Staging]])/Table7[Qty Lokasi]</f>
        <v>0.75706214689265539</v>
      </c>
      <c r="AB46" s="9">
        <f>Table7[Max]-Table7[Occupancy]</f>
        <v>0.24293785310734461</v>
      </c>
      <c r="AC46" s="2">
        <v>1</v>
      </c>
      <c r="AE46" s="26">
        <f>SUM(Table1[[#This Row],[Qty Lokasi]]+Table13[[#This Row],[Qty Lokasi]]+Table7[[#This Row],[Qty Lokasi]])</f>
        <v>4941</v>
      </c>
      <c r="AF46" s="26">
        <f>SUM(Table1[[#This Row],[Available]]+Table13[[#This Row],[Available]]+Table7[[#This Row],[Available]])</f>
        <v>974</v>
      </c>
      <c r="AG46" s="27">
        <f>1-Table3[Available]/Table3[Total]</f>
        <v>0.80287391216352966</v>
      </c>
    </row>
    <row r="47" spans="1:33">
      <c r="A47" s="18" t="s">
        <v>9</v>
      </c>
      <c r="B47" s="1">
        <v>43654</v>
      </c>
      <c r="C47" s="3">
        <v>3820</v>
      </c>
      <c r="D47" s="3">
        <v>2790</v>
      </c>
      <c r="E47" s="3">
        <v>963</v>
      </c>
      <c r="F47" s="3">
        <v>67</v>
      </c>
      <c r="G47" s="9">
        <f>(Table1[Terpakai]+Table1[[#This Row],[Staging]])/Table1[Qty Lokasi]</f>
        <v>0.74790575916230362</v>
      </c>
      <c r="H47" s="9">
        <f>Table1[Max]-Table1[Occupancy]</f>
        <v>0.25209424083769638</v>
      </c>
      <c r="I47" s="17">
        <v>1</v>
      </c>
      <c r="K47" s="1" t="s">
        <v>10</v>
      </c>
      <c r="L47" s="1">
        <v>43654</v>
      </c>
      <c r="M47" s="3">
        <v>590</v>
      </c>
      <c r="N47" s="3">
        <v>530</v>
      </c>
      <c r="O47" s="3">
        <v>-1</v>
      </c>
      <c r="P47" s="3">
        <v>61</v>
      </c>
      <c r="Q47" s="9">
        <f>(Table13[Terpakai]+Table13[[#This Row],[Staging]])/Table13[Qty Lokasi]</f>
        <v>1.0016949152542374</v>
      </c>
      <c r="R47" s="9">
        <f>Table13[Max]-Table13[Occupancy]</f>
        <v>-1.6949152542373724E-3</v>
      </c>
      <c r="S47" s="2">
        <v>1</v>
      </c>
      <c r="U47" s="3" t="s">
        <v>11</v>
      </c>
      <c r="V47" s="1">
        <v>43654</v>
      </c>
      <c r="W47" s="3">
        <v>531</v>
      </c>
      <c r="X47" s="3">
        <v>343</v>
      </c>
      <c r="Y47" s="3">
        <v>144</v>
      </c>
      <c r="Z47" s="3">
        <v>44</v>
      </c>
      <c r="AA47" s="9">
        <f>(Table7[Terpakai]+Table7[[#This Row],[Staging]])/Table7[Qty Lokasi]</f>
        <v>0.72881355932203384</v>
      </c>
      <c r="AB47" s="9">
        <f>Table7[Max]-Table7[Occupancy]</f>
        <v>0.27118644067796616</v>
      </c>
      <c r="AC47" s="2">
        <v>1</v>
      </c>
      <c r="AE47" s="26">
        <f>SUM(Table1[[#This Row],[Qty Lokasi]]+Table13[[#This Row],[Qty Lokasi]]+Table7[[#This Row],[Qty Lokasi]])</f>
        <v>4941</v>
      </c>
      <c r="AF47" s="26">
        <f>SUM(Table1[[#This Row],[Available]]+Table13[[#This Row],[Available]]+Table7[[#This Row],[Available]])</f>
        <v>1106</v>
      </c>
      <c r="AG47" s="27">
        <f>1-Table3[Available]/Table3[Total]</f>
        <v>0.77615867233353575</v>
      </c>
    </row>
    <row r="48" spans="1:33">
      <c r="A48" s="18" t="s">
        <v>9</v>
      </c>
      <c r="B48" s="1">
        <v>43655</v>
      </c>
      <c r="C48" s="3">
        <v>3820</v>
      </c>
      <c r="D48" s="3">
        <v>2850</v>
      </c>
      <c r="E48" s="3">
        <v>858</v>
      </c>
      <c r="F48" s="3">
        <v>112</v>
      </c>
      <c r="G48" s="9">
        <f>(Table1[Terpakai]+Table1[[#This Row],[Staging]])/Table1[Qty Lokasi]</f>
        <v>0.77539267015706803</v>
      </c>
      <c r="H48" s="9">
        <f>Table1[Max]-Table1[Occupancy]</f>
        <v>0.22460732984293197</v>
      </c>
      <c r="I48" s="17">
        <v>1</v>
      </c>
      <c r="K48" s="1" t="s">
        <v>10</v>
      </c>
      <c r="L48" s="1">
        <v>43655</v>
      </c>
      <c r="M48" s="3">
        <v>590</v>
      </c>
      <c r="N48" s="3">
        <v>547</v>
      </c>
      <c r="O48" s="3">
        <v>-11</v>
      </c>
      <c r="P48" s="3">
        <v>54</v>
      </c>
      <c r="Q48" s="9">
        <f>(Table13[Terpakai]+Table13[[#This Row],[Staging]])/Table13[Qty Lokasi]</f>
        <v>1.0186440677966102</v>
      </c>
      <c r="R48" s="9">
        <f>Table13[Max]-Table13[Occupancy]</f>
        <v>-1.8644067796610209E-2</v>
      </c>
      <c r="S48" s="2">
        <v>1</v>
      </c>
      <c r="U48" s="3" t="s">
        <v>11</v>
      </c>
      <c r="V48" s="1">
        <v>43655</v>
      </c>
      <c r="W48" s="3">
        <v>531</v>
      </c>
      <c r="X48" s="3">
        <v>350</v>
      </c>
      <c r="Y48" s="3">
        <v>102</v>
      </c>
      <c r="Z48" s="3">
        <v>79</v>
      </c>
      <c r="AA48" s="9">
        <f>(Table7[Terpakai]+Table7[[#This Row],[Staging]])/Table7[Qty Lokasi]</f>
        <v>0.80790960451977401</v>
      </c>
      <c r="AB48" s="9">
        <f>Table7[Max]-Table7[Occupancy]</f>
        <v>0.19209039548022599</v>
      </c>
      <c r="AC48" s="2">
        <v>1</v>
      </c>
      <c r="AE48" s="26">
        <f>SUM(Table1[[#This Row],[Qty Lokasi]]+Table13[[#This Row],[Qty Lokasi]]+Table7[[#This Row],[Qty Lokasi]])</f>
        <v>4941</v>
      </c>
      <c r="AF48" s="26">
        <f>SUM(Table1[[#This Row],[Available]]+Table13[[#This Row],[Available]]+Table7[[#This Row],[Available]])</f>
        <v>949</v>
      </c>
      <c r="AG48" s="27">
        <f>1-Table3[Available]/Table3[Total]</f>
        <v>0.80793361667678609</v>
      </c>
    </row>
    <row r="49" spans="1:33">
      <c r="A49" s="18" t="s">
        <v>9</v>
      </c>
      <c r="B49" s="1">
        <v>43656</v>
      </c>
      <c r="C49" s="3">
        <v>3820</v>
      </c>
      <c r="D49" s="3">
        <v>2837</v>
      </c>
      <c r="E49" s="3">
        <v>818</v>
      </c>
      <c r="F49" s="3">
        <v>165</v>
      </c>
      <c r="G49" s="9">
        <f>(Table1[Terpakai]+Table1[[#This Row],[Staging]])/Table1[Qty Lokasi]</f>
        <v>0.78586387434554972</v>
      </c>
      <c r="H49" s="9">
        <f>Table1[Max]-Table1[Occupancy]</f>
        <v>0.21413612565445028</v>
      </c>
      <c r="I49" s="17">
        <v>1</v>
      </c>
      <c r="K49" s="1" t="s">
        <v>10</v>
      </c>
      <c r="L49" s="1">
        <v>43656</v>
      </c>
      <c r="M49" s="3">
        <v>590</v>
      </c>
      <c r="N49" s="3">
        <v>519</v>
      </c>
      <c r="O49" s="3">
        <v>17</v>
      </c>
      <c r="P49" s="3">
        <v>54</v>
      </c>
      <c r="Q49" s="9">
        <f>(Table13[Terpakai]+Table13[[#This Row],[Staging]])/Table13[Qty Lokasi]</f>
        <v>0.97118644067796611</v>
      </c>
      <c r="R49" s="9">
        <f>Table13[Max]-Table13[Occupancy]</f>
        <v>2.8813559322033888E-2</v>
      </c>
      <c r="S49" s="2">
        <v>1</v>
      </c>
      <c r="U49" s="3" t="s">
        <v>11</v>
      </c>
      <c r="V49" s="1">
        <v>43656</v>
      </c>
      <c r="W49" s="3">
        <v>531</v>
      </c>
      <c r="X49" s="3">
        <v>384</v>
      </c>
      <c r="Y49" s="3">
        <v>96</v>
      </c>
      <c r="Z49" s="3">
        <v>51</v>
      </c>
      <c r="AA49" s="9">
        <f>(Table7[Terpakai]+Table7[[#This Row],[Staging]])/Table7[Qty Lokasi]</f>
        <v>0.8192090395480226</v>
      </c>
      <c r="AB49" s="9">
        <f>Table7[Max]-Table7[Occupancy]</f>
        <v>0.1807909604519774</v>
      </c>
      <c r="AC49" s="2">
        <v>1</v>
      </c>
      <c r="AE49" s="26">
        <f>SUM(Table1[[#This Row],[Qty Lokasi]]+Table13[[#This Row],[Qty Lokasi]]+Table7[[#This Row],[Qty Lokasi]])</f>
        <v>4941</v>
      </c>
      <c r="AF49" s="26">
        <f>SUM(Table1[[#This Row],[Available]]+Table13[[#This Row],[Available]]+Table7[[#This Row],[Available]])</f>
        <v>931</v>
      </c>
      <c r="AG49" s="27">
        <f>1-Table3[Available]/Table3[Total]</f>
        <v>0.81157660392633069</v>
      </c>
    </row>
    <row r="50" spans="1:33">
      <c r="A50" s="18" t="s">
        <v>9</v>
      </c>
      <c r="B50" s="1">
        <v>43657</v>
      </c>
      <c r="C50" s="3">
        <v>3820</v>
      </c>
      <c r="D50" s="3">
        <v>3093</v>
      </c>
      <c r="E50" s="3">
        <v>693</v>
      </c>
      <c r="F50" s="3">
        <v>34</v>
      </c>
      <c r="G50" s="9">
        <f>(Table1[Terpakai]+Table1[[#This Row],[Staging]])/Table1[Qty Lokasi]</f>
        <v>0.81858638743455492</v>
      </c>
      <c r="H50" s="9">
        <f>Table1[Max]-Table1[Occupancy]</f>
        <v>0.18141361256544508</v>
      </c>
      <c r="I50" s="17">
        <v>1</v>
      </c>
      <c r="K50" s="1" t="s">
        <v>10</v>
      </c>
      <c r="L50" s="1">
        <v>43657</v>
      </c>
      <c r="M50" s="3">
        <v>590</v>
      </c>
      <c r="N50" s="3">
        <v>530</v>
      </c>
      <c r="O50" s="3">
        <v>-8</v>
      </c>
      <c r="P50" s="3">
        <v>68</v>
      </c>
      <c r="Q50" s="9">
        <f>(Table13[Terpakai]+Table13[[#This Row],[Staging]])/Table13[Qty Lokasi]</f>
        <v>1.0135593220338983</v>
      </c>
      <c r="R50" s="9">
        <f>Table13[Max]-Table13[Occupancy]</f>
        <v>-1.3559322033898313E-2</v>
      </c>
      <c r="S50" s="2">
        <v>1</v>
      </c>
      <c r="U50" s="3" t="s">
        <v>11</v>
      </c>
      <c r="V50" s="1">
        <v>43657</v>
      </c>
      <c r="W50" s="3">
        <v>555</v>
      </c>
      <c r="X50" s="3">
        <v>343</v>
      </c>
      <c r="Y50" s="3">
        <v>184</v>
      </c>
      <c r="Z50" s="3">
        <v>28</v>
      </c>
      <c r="AA50" s="9">
        <f>(Table7[Terpakai]+Table7[[#This Row],[Staging]])/Table7[Qty Lokasi]</f>
        <v>0.66846846846846841</v>
      </c>
      <c r="AB50" s="9">
        <f>Table7[Max]-Table7[Occupancy]</f>
        <v>0.33153153153153159</v>
      </c>
      <c r="AC50" s="2">
        <v>1</v>
      </c>
      <c r="AE50" s="26">
        <f>SUM(Table1[[#This Row],[Qty Lokasi]]+Table13[[#This Row],[Qty Lokasi]]+Table7[[#This Row],[Qty Lokasi]])</f>
        <v>4965</v>
      </c>
      <c r="AF50" s="26">
        <f>SUM(Table1[[#This Row],[Available]]+Table13[[#This Row],[Available]]+Table7[[#This Row],[Available]])</f>
        <v>869</v>
      </c>
      <c r="AG50" s="27">
        <f>1-Table3[Available]/Table3[Total]</f>
        <v>0.82497482376636455</v>
      </c>
    </row>
    <row r="51" spans="1:33">
      <c r="A51" s="18" t="s">
        <v>9</v>
      </c>
      <c r="B51" s="1">
        <v>43658</v>
      </c>
      <c r="C51" s="3">
        <v>3820</v>
      </c>
      <c r="D51" s="3">
        <v>2955</v>
      </c>
      <c r="E51" s="3">
        <v>849</v>
      </c>
      <c r="F51" s="3">
        <v>16</v>
      </c>
      <c r="G51" s="9">
        <f>(Table1[Terpakai]+Table1[[#This Row],[Staging]])/Table1[Qty Lokasi]</f>
        <v>0.77774869109947642</v>
      </c>
      <c r="H51" s="9">
        <f>Table1[Max]-Table1[Occupancy]</f>
        <v>0.22225130890052358</v>
      </c>
      <c r="I51" s="17">
        <v>1</v>
      </c>
      <c r="K51" s="1" t="s">
        <v>10</v>
      </c>
      <c r="L51" s="1">
        <v>43658</v>
      </c>
      <c r="M51" s="3">
        <v>590</v>
      </c>
      <c r="N51" s="3">
        <v>534</v>
      </c>
      <c r="O51" s="3">
        <v>30</v>
      </c>
      <c r="P51" s="3">
        <v>26</v>
      </c>
      <c r="Q51" s="9">
        <f>(Table13[Terpakai]+Table13[[#This Row],[Staging]])/Table13[Qty Lokasi]</f>
        <v>0.94915254237288138</v>
      </c>
      <c r="R51" s="9">
        <f>Table13[Max]-Table13[Occupancy]</f>
        <v>5.084745762711862E-2</v>
      </c>
      <c r="S51" s="2">
        <v>1</v>
      </c>
      <c r="U51" s="3" t="s">
        <v>11</v>
      </c>
      <c r="V51" s="1">
        <v>43658</v>
      </c>
      <c r="W51" s="3">
        <v>555</v>
      </c>
      <c r="X51" s="3">
        <v>331</v>
      </c>
      <c r="Y51" s="3">
        <v>224</v>
      </c>
      <c r="Z51" s="3">
        <v>0</v>
      </c>
      <c r="AA51" s="9">
        <f>(Table7[Terpakai]+Table7[[#This Row],[Staging]])/Table7[Qty Lokasi]</f>
        <v>0.59639639639639641</v>
      </c>
      <c r="AB51" s="9">
        <f>Table7[Max]-Table7[Occupancy]</f>
        <v>0.40360360360360359</v>
      </c>
      <c r="AC51" s="2">
        <v>1</v>
      </c>
      <c r="AE51" s="26">
        <f>SUM(Table1[[#This Row],[Qty Lokasi]]+Table13[[#This Row],[Qty Lokasi]]+Table7[[#This Row],[Qty Lokasi]])</f>
        <v>4965</v>
      </c>
      <c r="AF51" s="26">
        <f>SUM(Table1[[#This Row],[Available]]+Table13[[#This Row],[Available]]+Table7[[#This Row],[Available]])</f>
        <v>1103</v>
      </c>
      <c r="AG51" s="27">
        <f>1-Table3[Available]/Table3[Total]</f>
        <v>0.77784491440080561</v>
      </c>
    </row>
    <row r="52" spans="1:33">
      <c r="A52" s="18" t="s">
        <v>9</v>
      </c>
      <c r="B52" s="1">
        <v>43661</v>
      </c>
      <c r="C52" s="3">
        <v>3820</v>
      </c>
      <c r="D52" s="3">
        <v>2793</v>
      </c>
      <c r="E52" s="3">
        <v>1014</v>
      </c>
      <c r="F52" s="3">
        <v>13</v>
      </c>
      <c r="G52" s="9">
        <f>(Table1[Terpakai]+Table1[[#This Row],[Staging]])/Table1[Qty Lokasi]</f>
        <v>0.73455497382198953</v>
      </c>
      <c r="H52" s="9">
        <f>Table1[Max]-Table1[Occupancy]</f>
        <v>0.26544502617801047</v>
      </c>
      <c r="I52" s="17">
        <v>1</v>
      </c>
      <c r="K52" s="1" t="s">
        <v>10</v>
      </c>
      <c r="L52" s="1">
        <v>43661</v>
      </c>
      <c r="M52" s="3">
        <v>618</v>
      </c>
      <c r="N52" s="3">
        <v>537</v>
      </c>
      <c r="O52" s="3">
        <v>80</v>
      </c>
      <c r="P52" s="3">
        <v>1</v>
      </c>
      <c r="Q52" s="9">
        <f>(Table13[Terpakai]+Table13[[#This Row],[Staging]])/Table13[Qty Lokasi]</f>
        <v>0.87055016181229772</v>
      </c>
      <c r="R52" s="9">
        <f>Table13[Max]-Table13[Occupancy]</f>
        <v>0.12944983818770228</v>
      </c>
      <c r="S52" s="2">
        <v>1</v>
      </c>
      <c r="U52" s="3" t="s">
        <v>11</v>
      </c>
      <c r="V52" s="1">
        <v>43661</v>
      </c>
      <c r="W52" s="3">
        <v>555</v>
      </c>
      <c r="X52" s="3">
        <v>297</v>
      </c>
      <c r="Y52" s="3">
        <v>219</v>
      </c>
      <c r="Z52" s="3">
        <v>39</v>
      </c>
      <c r="AA52" s="9">
        <f>(Table7[Terpakai]+Table7[[#This Row],[Staging]])/Table7[Qty Lokasi]</f>
        <v>0.60540540540540544</v>
      </c>
      <c r="AB52" s="9">
        <f>Table7[Max]-Table7[Occupancy]</f>
        <v>0.39459459459459456</v>
      </c>
      <c r="AC52" s="2">
        <v>1</v>
      </c>
      <c r="AE52" s="26">
        <f>SUM(Table1[[#This Row],[Qty Lokasi]]+Table13[[#This Row],[Qty Lokasi]]+Table7[[#This Row],[Qty Lokasi]])</f>
        <v>4993</v>
      </c>
      <c r="AF52" s="26">
        <f>SUM(Table1[[#This Row],[Available]]+Table13[[#This Row],[Available]]+Table7[[#This Row],[Available]])</f>
        <v>1313</v>
      </c>
      <c r="AG52" s="27">
        <f>1-Table3[Available]/Table3[Total]</f>
        <v>0.73703184458241533</v>
      </c>
    </row>
    <row r="53" spans="1:33">
      <c r="A53" s="18" t="s">
        <v>9</v>
      </c>
      <c r="B53" s="1">
        <v>43662</v>
      </c>
      <c r="C53" s="3">
        <v>3820</v>
      </c>
      <c r="D53" s="3">
        <v>2797</v>
      </c>
      <c r="E53" s="3">
        <v>946</v>
      </c>
      <c r="F53" s="3">
        <v>77</v>
      </c>
      <c r="G53" s="9">
        <f>(Table1[Terpakai]+Table1[[#This Row],[Staging]])/Table1[Qty Lokasi]</f>
        <v>0.75235602094240839</v>
      </c>
      <c r="H53" s="9">
        <f>Table1[Max]-Table1[Occupancy]</f>
        <v>0.24764397905759161</v>
      </c>
      <c r="I53" s="17">
        <v>1</v>
      </c>
      <c r="K53" s="1" t="s">
        <v>10</v>
      </c>
      <c r="L53" s="1">
        <v>43662</v>
      </c>
      <c r="M53" s="3">
        <v>618</v>
      </c>
      <c r="N53" s="3">
        <v>536</v>
      </c>
      <c r="O53" s="3">
        <v>61</v>
      </c>
      <c r="P53" s="3">
        <v>21</v>
      </c>
      <c r="Q53" s="9">
        <f>(Table13[Terpakai]+Table13[[#This Row],[Staging]])/Table13[Qty Lokasi]</f>
        <v>0.90129449838187703</v>
      </c>
      <c r="R53" s="9">
        <f>Table13[Max]-Table13[Occupancy]</f>
        <v>9.8705501618122971E-2</v>
      </c>
      <c r="S53" s="2">
        <v>1</v>
      </c>
      <c r="U53" s="3" t="s">
        <v>11</v>
      </c>
      <c r="V53" s="1">
        <v>43662</v>
      </c>
      <c r="W53" s="3">
        <v>555</v>
      </c>
      <c r="X53" s="3">
        <v>286</v>
      </c>
      <c r="Y53" s="3">
        <v>232</v>
      </c>
      <c r="Z53" s="3">
        <v>37</v>
      </c>
      <c r="AA53" s="9">
        <f>(Table7[Terpakai]+Table7[[#This Row],[Staging]])/Table7[Qty Lokasi]</f>
        <v>0.58198198198198203</v>
      </c>
      <c r="AB53" s="9">
        <f>Table7[Max]-Table7[Occupancy]</f>
        <v>0.41801801801801797</v>
      </c>
      <c r="AC53" s="2">
        <v>1</v>
      </c>
      <c r="AE53" s="26">
        <f>SUM(Table1[[#This Row],[Qty Lokasi]]+Table13[[#This Row],[Qty Lokasi]]+Table7[[#This Row],[Qty Lokasi]])</f>
        <v>4993</v>
      </c>
      <c r="AF53" s="26">
        <f>SUM(Table1[[#This Row],[Available]]+Table13[[#This Row],[Available]]+Table7[[#This Row],[Available]])</f>
        <v>1239</v>
      </c>
      <c r="AG53" s="27">
        <f>1-Table3[Available]/Table3[Total]</f>
        <v>0.75185259363108348</v>
      </c>
    </row>
    <row r="54" spans="1:33">
      <c r="A54" s="18" t="s">
        <v>9</v>
      </c>
      <c r="B54" s="1">
        <v>43663</v>
      </c>
      <c r="C54" s="3">
        <v>3820</v>
      </c>
      <c r="D54" s="3">
        <v>2749</v>
      </c>
      <c r="E54" s="3">
        <v>884</v>
      </c>
      <c r="F54" s="3">
        <v>187</v>
      </c>
      <c r="G54" s="9">
        <f>(Table1[Terpakai]+Table1[[#This Row],[Staging]])/Table1[Qty Lokasi]</f>
        <v>0.76858638743455499</v>
      </c>
      <c r="H54" s="9">
        <f>Table1[Max]-Table1[Occupancy]</f>
        <v>0.23141361256544501</v>
      </c>
      <c r="I54" s="17">
        <v>1</v>
      </c>
      <c r="K54" s="1" t="s">
        <v>10</v>
      </c>
      <c r="L54" s="1">
        <v>43663</v>
      </c>
      <c r="M54" s="3">
        <v>618</v>
      </c>
      <c r="N54" s="3">
        <v>540</v>
      </c>
      <c r="O54" s="3">
        <v>41</v>
      </c>
      <c r="P54" s="3">
        <v>37</v>
      </c>
      <c r="Q54" s="9">
        <f>(Table13[Terpakai]+Table13[[#This Row],[Staging]])/Table13[Qty Lokasi]</f>
        <v>0.93365695792880254</v>
      </c>
      <c r="R54" s="9">
        <f>Table13[Max]-Table13[Occupancy]</f>
        <v>6.6343042071197456E-2</v>
      </c>
      <c r="S54" s="2">
        <v>1</v>
      </c>
      <c r="U54" s="3" t="s">
        <v>11</v>
      </c>
      <c r="V54" s="1">
        <v>43663</v>
      </c>
      <c r="W54" s="3">
        <v>555</v>
      </c>
      <c r="X54" s="3">
        <v>307</v>
      </c>
      <c r="Y54" s="3">
        <v>200</v>
      </c>
      <c r="Z54" s="3">
        <v>48</v>
      </c>
      <c r="AA54" s="9">
        <f>(Table7[Terpakai]+Table7[[#This Row],[Staging]])/Table7[Qty Lokasi]</f>
        <v>0.63963963963963966</v>
      </c>
      <c r="AB54" s="9">
        <f>Table7[Max]-Table7[Occupancy]</f>
        <v>0.36036036036036034</v>
      </c>
      <c r="AC54" s="2">
        <v>1</v>
      </c>
      <c r="AE54" s="26">
        <f>SUM(Table1[[#This Row],[Qty Lokasi]]+Table13[[#This Row],[Qty Lokasi]]+Table7[[#This Row],[Qty Lokasi]])</f>
        <v>4993</v>
      </c>
      <c r="AF54" s="26">
        <f>SUM(Table1[[#This Row],[Available]]+Table13[[#This Row],[Available]]+Table7[[#This Row],[Available]])</f>
        <v>1125</v>
      </c>
      <c r="AG54" s="27">
        <f>1-Table3[Available]/Table3[Total]</f>
        <v>0.77468455838173444</v>
      </c>
    </row>
    <row r="55" spans="1:33">
      <c r="A55" s="18" t="s">
        <v>9</v>
      </c>
      <c r="B55" s="1">
        <v>43664</v>
      </c>
      <c r="C55" s="3">
        <v>3820</v>
      </c>
      <c r="D55" s="3">
        <v>2686</v>
      </c>
      <c r="E55" s="3">
        <v>968</v>
      </c>
      <c r="F55" s="3">
        <v>166</v>
      </c>
      <c r="G55" s="9">
        <f>(Table1[Terpakai]+Table1[[#This Row],[Staging]])/Table1[Qty Lokasi]</f>
        <v>0.74659685863874348</v>
      </c>
      <c r="H55" s="9">
        <f>Table1[Max]-Table1[Occupancy]</f>
        <v>0.25340314136125652</v>
      </c>
      <c r="I55" s="17">
        <v>1</v>
      </c>
      <c r="K55" s="1" t="s">
        <v>10</v>
      </c>
      <c r="L55" s="1">
        <v>43664</v>
      </c>
      <c r="M55" s="3">
        <v>618</v>
      </c>
      <c r="N55" s="3">
        <v>530</v>
      </c>
      <c r="O55" s="3">
        <v>16</v>
      </c>
      <c r="P55" s="3">
        <v>72</v>
      </c>
      <c r="Q55" s="9">
        <f>(Table13[Terpakai]+Table13[[#This Row],[Staging]])/Table13[Qty Lokasi]</f>
        <v>0.97411003236245952</v>
      </c>
      <c r="R55" s="9">
        <f>Table13[Max]-Table13[Occupancy]</f>
        <v>2.5889967637540479E-2</v>
      </c>
      <c r="S55" s="2">
        <v>1</v>
      </c>
      <c r="U55" s="3" t="s">
        <v>11</v>
      </c>
      <c r="V55" s="1">
        <v>43664</v>
      </c>
      <c r="W55" s="3">
        <v>555</v>
      </c>
      <c r="X55" s="3">
        <v>260</v>
      </c>
      <c r="Y55" s="3">
        <v>230</v>
      </c>
      <c r="Z55" s="3">
        <v>65</v>
      </c>
      <c r="AA55" s="9">
        <f>(Table7[Terpakai]+Table7[[#This Row],[Staging]])/Table7[Qty Lokasi]</f>
        <v>0.5855855855855856</v>
      </c>
      <c r="AB55" s="9">
        <f>Table7[Max]-Table7[Occupancy]</f>
        <v>0.4144144144144144</v>
      </c>
      <c r="AC55" s="2">
        <v>1</v>
      </c>
      <c r="AE55" s="26">
        <f>SUM(Table1[[#This Row],[Qty Lokasi]]+Table13[[#This Row],[Qty Lokasi]]+Table7[[#This Row],[Qty Lokasi]])</f>
        <v>4993</v>
      </c>
      <c r="AF55" s="26">
        <f>SUM(Table1[[#This Row],[Available]]+Table13[[#This Row],[Available]]+Table7[[#This Row],[Available]])</f>
        <v>1214</v>
      </c>
      <c r="AG55" s="27">
        <f>1-Table3[Available]/Table3[Total]</f>
        <v>0.75685960344482273</v>
      </c>
    </row>
    <row r="56" spans="1:33">
      <c r="A56" s="18" t="s">
        <v>9</v>
      </c>
      <c r="B56" s="1">
        <v>43665</v>
      </c>
      <c r="C56" s="3">
        <v>3820</v>
      </c>
      <c r="D56" s="3">
        <v>2795</v>
      </c>
      <c r="E56" s="3">
        <v>1009</v>
      </c>
      <c r="F56" s="3">
        <v>16</v>
      </c>
      <c r="G56" s="9">
        <f>(Table1[Terpakai]+Table1[[#This Row],[Staging]])/Table1[Qty Lokasi]</f>
        <v>0.73586387434554978</v>
      </c>
      <c r="H56" s="9">
        <f>Table1[Max]-Table1[Occupancy]</f>
        <v>0.26413612565445022</v>
      </c>
      <c r="I56" s="17">
        <v>1</v>
      </c>
      <c r="K56" s="1" t="s">
        <v>10</v>
      </c>
      <c r="L56" s="1">
        <v>43665</v>
      </c>
      <c r="M56" s="3">
        <v>618</v>
      </c>
      <c r="N56" s="3">
        <v>512</v>
      </c>
      <c r="O56" s="3">
        <v>44</v>
      </c>
      <c r="P56" s="3">
        <v>62</v>
      </c>
      <c r="Q56" s="9">
        <f>(Table13[Terpakai]+Table13[[#This Row],[Staging]])/Table13[Qty Lokasi]</f>
        <v>0.92880258899676371</v>
      </c>
      <c r="R56" s="9">
        <f>Table13[Max]-Table13[Occupancy]</f>
        <v>7.1197411003236288E-2</v>
      </c>
      <c r="S56" s="2">
        <v>1</v>
      </c>
      <c r="U56" s="3" t="s">
        <v>11</v>
      </c>
      <c r="V56" s="1">
        <v>43665</v>
      </c>
      <c r="W56" s="3">
        <v>555</v>
      </c>
      <c r="X56" s="3">
        <v>195</v>
      </c>
      <c r="Y56" s="3">
        <v>275</v>
      </c>
      <c r="Z56" s="3">
        <v>85</v>
      </c>
      <c r="AA56" s="9">
        <f>(Table7[Terpakai]+Table7[[#This Row],[Staging]])/Table7[Qty Lokasi]</f>
        <v>0.50450450450450446</v>
      </c>
      <c r="AB56" s="9">
        <f>Table7[Max]-Table7[Occupancy]</f>
        <v>0.49549549549549554</v>
      </c>
      <c r="AC56" s="2">
        <v>1</v>
      </c>
      <c r="AE56" s="26">
        <f>SUM(Table1[[#This Row],[Qty Lokasi]]+Table13[[#This Row],[Qty Lokasi]]+Table7[[#This Row],[Qty Lokasi]])</f>
        <v>4993</v>
      </c>
      <c r="AF56" s="26">
        <f>SUM(Table1[[#This Row],[Available]]+Table13[[#This Row],[Available]]+Table7[[#This Row],[Available]])</f>
        <v>1328</v>
      </c>
      <c r="AG56" s="27">
        <f>1-Table3[Available]/Table3[Total]</f>
        <v>0.73402763869417176</v>
      </c>
    </row>
    <row r="57" spans="1:33">
      <c r="A57" s="18" t="s">
        <v>9</v>
      </c>
      <c r="B57" s="1">
        <v>43668</v>
      </c>
      <c r="C57" s="3">
        <v>3616</v>
      </c>
      <c r="D57" s="3">
        <v>2653</v>
      </c>
      <c r="E57" s="3">
        <v>960</v>
      </c>
      <c r="F57" s="3">
        <v>3</v>
      </c>
      <c r="G57" s="9">
        <f>(Table1[Terpakai]+Table1[[#This Row],[Staging]])/Table1[Qty Lokasi]</f>
        <v>0.73451327433628322</v>
      </c>
      <c r="H57" s="9">
        <f>Table1[Max]-Table1[Occupancy]</f>
        <v>0.26548672566371678</v>
      </c>
      <c r="I57" s="17">
        <v>1</v>
      </c>
      <c r="K57" s="1" t="s">
        <v>10</v>
      </c>
      <c r="L57" s="1">
        <v>43668</v>
      </c>
      <c r="M57" s="3">
        <v>819</v>
      </c>
      <c r="N57" s="3">
        <v>627</v>
      </c>
      <c r="O57" s="3">
        <v>189</v>
      </c>
      <c r="P57" s="3">
        <v>3</v>
      </c>
      <c r="Q57" s="9">
        <f>(Table13[Terpakai]+Table13[[#This Row],[Staging]])/Table13[Qty Lokasi]</f>
        <v>0.76923076923076927</v>
      </c>
      <c r="R57" s="9">
        <f>Table13[Max]-Table13[Occupancy]</f>
        <v>0.23076923076923073</v>
      </c>
      <c r="S57" s="2">
        <v>1</v>
      </c>
      <c r="U57" s="3" t="s">
        <v>11</v>
      </c>
      <c r="V57" s="1">
        <v>43668</v>
      </c>
      <c r="W57" s="3">
        <v>544</v>
      </c>
      <c r="X57" s="3">
        <v>202</v>
      </c>
      <c r="Y57" s="3">
        <v>261</v>
      </c>
      <c r="Z57" s="3">
        <v>81</v>
      </c>
      <c r="AA57" s="9">
        <f>(Table7[Terpakai]+Table7[[#This Row],[Staging]])/Table7[Qty Lokasi]</f>
        <v>0.52022058823529416</v>
      </c>
      <c r="AB57" s="9">
        <f>Table7[Max]-Table7[Occupancy]</f>
        <v>0.47977941176470584</v>
      </c>
      <c r="AC57" s="2">
        <v>1</v>
      </c>
      <c r="AE57" s="26">
        <f>SUM(Table1[[#This Row],[Qty Lokasi]]+Table13[[#This Row],[Qty Lokasi]]+Table7[[#This Row],[Qty Lokasi]])</f>
        <v>4979</v>
      </c>
      <c r="AF57" s="26">
        <f>SUM(Table1[[#This Row],[Available]]+Table13[[#This Row],[Available]]+Table7[[#This Row],[Available]])</f>
        <v>1410</v>
      </c>
      <c r="AG57" s="27">
        <f>1-Table3[Available]/Table3[Total]</f>
        <v>0.71681060453906409</v>
      </c>
    </row>
    <row r="58" spans="1:33">
      <c r="A58" s="18" t="s">
        <v>9</v>
      </c>
      <c r="B58" s="1">
        <v>43669</v>
      </c>
      <c r="C58" s="3">
        <v>3616</v>
      </c>
      <c r="D58" s="3">
        <v>2550</v>
      </c>
      <c r="E58" s="3">
        <v>999</v>
      </c>
      <c r="F58" s="3">
        <v>67</v>
      </c>
      <c r="G58" s="9">
        <f>(Table1[Terpakai]+Table1[[#This Row],[Staging]])/Table1[Qty Lokasi]</f>
        <v>0.72372787610619471</v>
      </c>
      <c r="H58" s="9">
        <f>Table1[Max]-Table1[Occupancy]</f>
        <v>0.27627212389380529</v>
      </c>
      <c r="I58" s="17">
        <v>1</v>
      </c>
      <c r="K58" s="1" t="s">
        <v>10</v>
      </c>
      <c r="L58" s="1">
        <v>43669</v>
      </c>
      <c r="M58" s="3">
        <v>819</v>
      </c>
      <c r="N58" s="3">
        <v>625</v>
      </c>
      <c r="O58" s="3">
        <v>179</v>
      </c>
      <c r="P58" s="3">
        <v>15</v>
      </c>
      <c r="Q58" s="9">
        <f>(Table13[Terpakai]+Table13[[#This Row],[Staging]])/Table13[Qty Lokasi]</f>
        <v>0.78144078144078144</v>
      </c>
      <c r="R58" s="9">
        <f>Table13[Max]-Table13[Occupancy]</f>
        <v>0.21855921855921856</v>
      </c>
      <c r="S58" s="2">
        <v>1</v>
      </c>
      <c r="U58" s="3" t="s">
        <v>11</v>
      </c>
      <c r="V58" s="1">
        <v>43669</v>
      </c>
      <c r="W58" s="3">
        <v>544</v>
      </c>
      <c r="X58" s="3">
        <v>203</v>
      </c>
      <c r="Y58" s="3">
        <v>295</v>
      </c>
      <c r="Z58" s="3">
        <v>46</v>
      </c>
      <c r="AA58" s="9">
        <f>(Table7[Terpakai]+Table7[[#This Row],[Staging]])/Table7[Qty Lokasi]</f>
        <v>0.4577205882352941</v>
      </c>
      <c r="AB58" s="9">
        <f>Table7[Max]-Table7[Occupancy]</f>
        <v>0.54227941176470584</v>
      </c>
      <c r="AC58" s="2">
        <v>1</v>
      </c>
      <c r="AE58" s="26">
        <f>SUM(Table1[[#This Row],[Qty Lokasi]]+Table13[[#This Row],[Qty Lokasi]]+Table7[[#This Row],[Qty Lokasi]])</f>
        <v>4979</v>
      </c>
      <c r="AF58" s="26">
        <f>SUM(Table1[[#This Row],[Available]]+Table13[[#This Row],[Available]]+Table7[[#This Row],[Available]])</f>
        <v>1473</v>
      </c>
      <c r="AG58" s="27">
        <f>1-Table3[Available]/Table3[Total]</f>
        <v>0.70415746133761803</v>
      </c>
    </row>
    <row r="59" spans="1:33">
      <c r="A59" s="18" t="s">
        <v>9</v>
      </c>
      <c r="B59" s="1">
        <v>43670</v>
      </c>
      <c r="C59" s="3">
        <v>3616</v>
      </c>
      <c r="D59" s="3">
        <v>2574</v>
      </c>
      <c r="E59" s="3">
        <v>840</v>
      </c>
      <c r="F59" s="3">
        <v>202</v>
      </c>
      <c r="G59" s="9">
        <f>(Table1[Terpakai]+Table1[[#This Row],[Staging]])/Table1[Qty Lokasi]</f>
        <v>0.76769911504424782</v>
      </c>
      <c r="H59" s="9">
        <f>Table1[Max]-Table1[Occupancy]</f>
        <v>0.23230088495575218</v>
      </c>
      <c r="I59" s="17">
        <v>1</v>
      </c>
      <c r="K59" s="1" t="s">
        <v>10</v>
      </c>
      <c r="L59" s="1">
        <v>43670</v>
      </c>
      <c r="M59" s="3">
        <v>819</v>
      </c>
      <c r="N59" s="3">
        <v>646</v>
      </c>
      <c r="O59" s="3">
        <v>94</v>
      </c>
      <c r="P59" s="3">
        <v>79</v>
      </c>
      <c r="Q59" s="9">
        <f>(Table13[Terpakai]+Table13[[#This Row],[Staging]])/Table13[Qty Lokasi]</f>
        <v>0.88522588522588519</v>
      </c>
      <c r="R59" s="9">
        <f>Table13[Max]-Table13[Occupancy]</f>
        <v>0.11477411477411481</v>
      </c>
      <c r="S59" s="2">
        <v>1</v>
      </c>
      <c r="U59" s="3" t="s">
        <v>11</v>
      </c>
      <c r="V59" s="1">
        <v>43670</v>
      </c>
      <c r="W59" s="3">
        <v>544</v>
      </c>
      <c r="X59" s="3">
        <v>159</v>
      </c>
      <c r="Y59" s="3">
        <v>298</v>
      </c>
      <c r="Z59" s="3">
        <v>87</v>
      </c>
      <c r="AA59" s="9">
        <f>(Table7[Terpakai]+Table7[[#This Row],[Staging]])/Table7[Qty Lokasi]</f>
        <v>0.45220588235294118</v>
      </c>
      <c r="AB59" s="9">
        <f>Table7[Max]-Table7[Occupancy]</f>
        <v>0.54779411764705888</v>
      </c>
      <c r="AC59" s="2">
        <v>1</v>
      </c>
      <c r="AE59" s="26">
        <f>SUM(Table1[[#This Row],[Qty Lokasi]]+Table13[[#This Row],[Qty Lokasi]]+Table7[[#This Row],[Qty Lokasi]])</f>
        <v>4979</v>
      </c>
      <c r="AF59" s="26">
        <f>SUM(Table1[[#This Row],[Available]]+Table13[[#This Row],[Available]]+Table7[[#This Row],[Available]])</f>
        <v>1232</v>
      </c>
      <c r="AG59" s="27">
        <f>1-Table3[Available]/Table3[Total]</f>
        <v>0.75256075517172127</v>
      </c>
    </row>
    <row r="60" spans="1:33">
      <c r="A60" s="18" t="s">
        <v>9</v>
      </c>
      <c r="B60" s="1">
        <v>43671</v>
      </c>
      <c r="C60" s="3">
        <v>3616</v>
      </c>
      <c r="D60" s="3">
        <v>2737</v>
      </c>
      <c r="E60" s="3">
        <v>661</v>
      </c>
      <c r="F60" s="3">
        <v>218</v>
      </c>
      <c r="G60" s="9">
        <f>(Table1[Terpakai]+Table1[[#This Row],[Staging]])/Table1[Qty Lokasi]</f>
        <v>0.81720132743362828</v>
      </c>
      <c r="H60" s="9">
        <f>Table1[Max]-Table1[Occupancy]</f>
        <v>0.18279867256637172</v>
      </c>
      <c r="I60" s="17">
        <v>1</v>
      </c>
      <c r="K60" s="1" t="s">
        <v>10</v>
      </c>
      <c r="L60" s="1">
        <v>43671</v>
      </c>
      <c r="M60" s="3">
        <v>819</v>
      </c>
      <c r="N60" s="3">
        <v>600</v>
      </c>
      <c r="O60" s="3">
        <v>151</v>
      </c>
      <c r="P60" s="3">
        <v>68</v>
      </c>
      <c r="Q60" s="9">
        <f>(Table13[Terpakai]+Table13[[#This Row],[Staging]])/Table13[Qty Lokasi]</f>
        <v>0.81562881562881562</v>
      </c>
      <c r="R60" s="9">
        <f>Table13[Max]-Table13[Occupancy]</f>
        <v>0.18437118437118438</v>
      </c>
      <c r="S60" s="2">
        <v>1</v>
      </c>
      <c r="U60" s="3" t="s">
        <v>11</v>
      </c>
      <c r="V60" s="1">
        <v>43671</v>
      </c>
      <c r="W60" s="3">
        <v>544</v>
      </c>
      <c r="X60" s="3">
        <v>226</v>
      </c>
      <c r="Y60" s="3">
        <v>211</v>
      </c>
      <c r="Z60" s="3">
        <v>107</v>
      </c>
      <c r="AA60" s="9">
        <f>(Table7[Terpakai]+Table7[[#This Row],[Staging]])/Table7[Qty Lokasi]</f>
        <v>0.61213235294117652</v>
      </c>
      <c r="AB60" s="9">
        <f>Table7[Max]-Table7[Occupancy]</f>
        <v>0.38786764705882348</v>
      </c>
      <c r="AC60" s="2">
        <v>1</v>
      </c>
      <c r="AE60" s="26">
        <f>SUM(Table1[[#This Row],[Qty Lokasi]]+Table13[[#This Row],[Qty Lokasi]]+Table7[[#This Row],[Qty Lokasi]])</f>
        <v>4979</v>
      </c>
      <c r="AF60" s="26">
        <f>SUM(Table1[[#This Row],[Available]]+Table13[[#This Row],[Available]]+Table7[[#This Row],[Available]])</f>
        <v>1023</v>
      </c>
      <c r="AG60" s="27">
        <f>1-Table3[Available]/Table3[Total]</f>
        <v>0.79453705563366139</v>
      </c>
    </row>
    <row r="61" spans="1:33">
      <c r="A61" s="18" t="s">
        <v>9</v>
      </c>
      <c r="B61" s="1">
        <v>43672</v>
      </c>
      <c r="C61" s="3">
        <v>3616</v>
      </c>
      <c r="D61" s="3">
        <v>2823</v>
      </c>
      <c r="E61" s="3">
        <v>739</v>
      </c>
      <c r="F61" s="3">
        <v>54</v>
      </c>
      <c r="G61" s="9">
        <f>(Table1[Terpakai]+Table1[[#This Row],[Staging]])/Table1[Qty Lokasi]</f>
        <v>0.79563053097345138</v>
      </c>
      <c r="H61" s="9">
        <f>Table1[Max]-Table1[Occupancy]</f>
        <v>0.20436946902654862</v>
      </c>
      <c r="I61" s="17">
        <v>1</v>
      </c>
      <c r="K61" s="1" t="s">
        <v>10</v>
      </c>
      <c r="L61" s="1">
        <v>43672</v>
      </c>
      <c r="M61" s="3">
        <v>819</v>
      </c>
      <c r="N61" s="3">
        <v>670</v>
      </c>
      <c r="O61" s="3">
        <v>86</v>
      </c>
      <c r="P61" s="3">
        <v>63</v>
      </c>
      <c r="Q61" s="9">
        <f>(Table13[Terpakai]+Table13[[#This Row],[Staging]])/Table13[Qty Lokasi]</f>
        <v>0.89499389499389503</v>
      </c>
      <c r="R61" s="9">
        <f>Table13[Max]-Table13[Occupancy]</f>
        <v>0.10500610500610497</v>
      </c>
      <c r="S61" s="2">
        <v>1</v>
      </c>
      <c r="U61" s="3" t="s">
        <v>11</v>
      </c>
      <c r="V61" s="1">
        <v>43672</v>
      </c>
      <c r="W61" s="3">
        <v>544</v>
      </c>
      <c r="X61" s="3">
        <v>222</v>
      </c>
      <c r="Y61" s="3">
        <v>229</v>
      </c>
      <c r="Z61" s="3">
        <v>93</v>
      </c>
      <c r="AA61" s="9">
        <f>(Table7[Terpakai]+Table7[[#This Row],[Staging]])/Table7[Qty Lokasi]</f>
        <v>0.57904411764705888</v>
      </c>
      <c r="AB61" s="9">
        <f>Table7[Max]-Table7[Occupancy]</f>
        <v>0.42095588235294112</v>
      </c>
      <c r="AC61" s="2">
        <v>1</v>
      </c>
      <c r="AE61" s="26">
        <f>SUM(Table1[[#This Row],[Qty Lokasi]]+Table13[[#This Row],[Qty Lokasi]]+Table7[[#This Row],[Qty Lokasi]])</f>
        <v>4979</v>
      </c>
      <c r="AF61" s="26">
        <f>SUM(Table1[[#This Row],[Available]]+Table13[[#This Row],[Available]]+Table7[[#This Row],[Available]])</f>
        <v>1054</v>
      </c>
      <c r="AG61" s="27">
        <f>1-Table3[Available]/Table3[Total]</f>
        <v>0.78831090580437835</v>
      </c>
    </row>
    <row r="62" spans="1:33">
      <c r="A62" s="18" t="s">
        <v>9</v>
      </c>
      <c r="B62" s="1">
        <v>43675</v>
      </c>
      <c r="C62" s="3">
        <v>3616</v>
      </c>
      <c r="D62" s="3">
        <v>2762</v>
      </c>
      <c r="E62" s="3">
        <v>830</v>
      </c>
      <c r="F62" s="3">
        <v>24</v>
      </c>
      <c r="G62" s="9">
        <f>(Table1[Terpakai]+Table1[[#This Row],[Staging]])/Table1[Qty Lokasi]</f>
        <v>0.77046460176991149</v>
      </c>
      <c r="H62" s="9">
        <f>Table1[Max]-Table1[Occupancy]</f>
        <v>0.22953539823008851</v>
      </c>
      <c r="I62" s="17">
        <v>1</v>
      </c>
      <c r="K62" s="1" t="s">
        <v>10</v>
      </c>
      <c r="L62" s="1">
        <v>43675</v>
      </c>
      <c r="M62" s="3">
        <v>819</v>
      </c>
      <c r="N62" s="3">
        <v>710</v>
      </c>
      <c r="O62" s="3">
        <v>109</v>
      </c>
      <c r="P62" s="3">
        <v>0</v>
      </c>
      <c r="Q62" s="9">
        <f>(Table13[Terpakai]+Table13[[#This Row],[Staging]])/Table13[Qty Lokasi]</f>
        <v>0.86691086691086694</v>
      </c>
      <c r="R62" s="9">
        <f>Table13[Max]-Table13[Occupancy]</f>
        <v>0.13308913308913306</v>
      </c>
      <c r="S62" s="2">
        <v>1</v>
      </c>
      <c r="U62" s="3" t="s">
        <v>11</v>
      </c>
      <c r="V62" s="1">
        <v>43675</v>
      </c>
      <c r="W62" s="3">
        <v>544</v>
      </c>
      <c r="X62" s="3">
        <v>219</v>
      </c>
      <c r="Y62" s="3">
        <v>264</v>
      </c>
      <c r="Z62" s="3">
        <v>61</v>
      </c>
      <c r="AA62" s="9">
        <f>(Table7[Terpakai]+Table7[[#This Row],[Staging]])/Table7[Qty Lokasi]</f>
        <v>0.51470588235294112</v>
      </c>
      <c r="AB62" s="9">
        <f>Table7[Max]-Table7[Occupancy]</f>
        <v>0.48529411764705888</v>
      </c>
      <c r="AC62" s="2">
        <v>1</v>
      </c>
      <c r="AE62" s="26">
        <f>SUM(Table1[[#This Row],[Qty Lokasi]]+Table13[[#This Row],[Qty Lokasi]]+Table7[[#This Row],[Qty Lokasi]])</f>
        <v>4979</v>
      </c>
      <c r="AF62" s="26">
        <f>SUM(Table1[[#This Row],[Available]]+Table13[[#This Row],[Available]]+Table7[[#This Row],[Available]])</f>
        <v>1203</v>
      </c>
      <c r="AG62" s="27">
        <f>1-Table3[Available]/Table3[Total]</f>
        <v>0.75838521791524405</v>
      </c>
    </row>
    <row r="63" spans="1:33">
      <c r="A63" s="18" t="s">
        <v>9</v>
      </c>
      <c r="B63" s="1">
        <v>43676</v>
      </c>
      <c r="C63" s="14">
        <v>3616</v>
      </c>
      <c r="D63" s="14">
        <v>2720</v>
      </c>
      <c r="E63" s="14">
        <v>759</v>
      </c>
      <c r="F63" s="14">
        <v>137</v>
      </c>
      <c r="G63" s="9">
        <f>(Table1[Terpakai]+Table1[[#This Row],[Staging]])/Table1[Qty Lokasi]</f>
        <v>0.79009955752212391</v>
      </c>
      <c r="H63" s="9">
        <f>Table1[Max]-Table1[Occupancy]</f>
        <v>0.20990044247787609</v>
      </c>
      <c r="I63" s="17">
        <v>1</v>
      </c>
      <c r="K63" s="1" t="s">
        <v>10</v>
      </c>
      <c r="L63" s="1">
        <v>43676</v>
      </c>
      <c r="M63" s="3">
        <v>819</v>
      </c>
      <c r="N63" s="3">
        <v>680</v>
      </c>
      <c r="O63" s="3">
        <v>139</v>
      </c>
      <c r="P63" s="3">
        <v>0</v>
      </c>
      <c r="Q63" s="9">
        <f>(Table13[Terpakai]+Table13[[#This Row],[Staging]])/Table13[Qty Lokasi]</f>
        <v>0.83028083028083033</v>
      </c>
      <c r="R63" s="9">
        <f>Table13[Max]-Table13[Occupancy]</f>
        <v>0.16971916971916967</v>
      </c>
      <c r="S63" s="2">
        <v>1</v>
      </c>
      <c r="U63" s="3" t="s">
        <v>11</v>
      </c>
      <c r="V63" s="1">
        <v>43676</v>
      </c>
      <c r="W63" s="3">
        <v>544</v>
      </c>
      <c r="X63" s="3">
        <v>256</v>
      </c>
      <c r="Y63" s="3">
        <v>288</v>
      </c>
      <c r="Z63" s="3">
        <v>0</v>
      </c>
      <c r="AA63" s="9">
        <f>(Table7[Terpakai]+Table7[[#This Row],[Staging]])/Table7[Qty Lokasi]</f>
        <v>0.47058823529411764</v>
      </c>
      <c r="AB63" s="9">
        <f>Table7[Max]-Table7[Occupancy]</f>
        <v>0.52941176470588236</v>
      </c>
      <c r="AC63" s="2">
        <v>1</v>
      </c>
      <c r="AE63" s="26">
        <f>SUM(Table1[[#This Row],[Qty Lokasi]]+Table13[[#This Row],[Qty Lokasi]]+Table7[[#This Row],[Qty Lokasi]])</f>
        <v>4979</v>
      </c>
      <c r="AF63" s="26">
        <f>SUM(Table1[[#This Row],[Available]]+Table13[[#This Row],[Available]]+Table7[[#This Row],[Available]])</f>
        <v>1186</v>
      </c>
      <c r="AG63" s="27">
        <f>1-Table3[Available]/Table3[Total]</f>
        <v>0.76179955814420564</v>
      </c>
    </row>
    <row r="64" spans="1:33">
      <c r="A64" s="18" t="s">
        <v>9</v>
      </c>
      <c r="B64" s="1">
        <v>43677</v>
      </c>
      <c r="C64" s="23">
        <v>3616</v>
      </c>
      <c r="D64" s="23">
        <v>2718</v>
      </c>
      <c r="E64" s="23">
        <v>748</v>
      </c>
      <c r="F64" s="23">
        <v>150</v>
      </c>
      <c r="G64" s="9">
        <f>(Table1[Terpakai]+Table1[[#This Row],[Staging]])/Table1[Qty Lokasi]</f>
        <v>0.79314159292035402</v>
      </c>
      <c r="H64" s="9">
        <f>Table1[Max]-Table1[Occupancy]</f>
        <v>0.20685840707964598</v>
      </c>
      <c r="I64" s="17">
        <v>1</v>
      </c>
      <c r="K64" s="1" t="s">
        <v>10</v>
      </c>
      <c r="L64" s="1">
        <v>43677</v>
      </c>
      <c r="M64" s="3">
        <v>819</v>
      </c>
      <c r="N64" s="3">
        <v>677</v>
      </c>
      <c r="O64" s="3">
        <v>84</v>
      </c>
      <c r="P64" s="3">
        <v>58</v>
      </c>
      <c r="Q64" s="9">
        <f>(Table13[Terpakai]+Table13[[#This Row],[Staging]])/Table13[Qty Lokasi]</f>
        <v>0.89743589743589747</v>
      </c>
      <c r="R64" s="9">
        <f>Table13[Max]-Table13[Occupancy]</f>
        <v>0.10256410256410253</v>
      </c>
      <c r="S64" s="2">
        <v>1</v>
      </c>
      <c r="U64" s="3" t="s">
        <v>11</v>
      </c>
      <c r="V64" s="1">
        <v>43677</v>
      </c>
      <c r="W64" s="3">
        <v>544</v>
      </c>
      <c r="X64" s="3">
        <v>222</v>
      </c>
      <c r="Y64" s="3">
        <v>234</v>
      </c>
      <c r="Z64" s="3">
        <v>88</v>
      </c>
      <c r="AA64" s="9">
        <f>(Table7[Terpakai]+Table7[[#This Row],[Staging]])/Table7[Qty Lokasi]</f>
        <v>0.56985294117647056</v>
      </c>
      <c r="AB64" s="9">
        <f>Table7[Max]-Table7[Occupancy]</f>
        <v>0.43014705882352944</v>
      </c>
      <c r="AC64" s="2">
        <v>1</v>
      </c>
      <c r="AE64" s="26">
        <f>SUM(Table1[[#This Row],[Qty Lokasi]]+Table13[[#This Row],[Qty Lokasi]]+Table7[[#This Row],[Qty Lokasi]])</f>
        <v>4979</v>
      </c>
      <c r="AF64" s="26">
        <f>SUM(Table1[[#This Row],[Available]]+Table13[[#This Row],[Available]]+Table7[[#This Row],[Available]])</f>
        <v>1066</v>
      </c>
      <c r="AG64" s="27">
        <f>1-Table3[Available]/Table3[Total]</f>
        <v>0.78590078328981727</v>
      </c>
    </row>
    <row r="65" spans="1:33">
      <c r="A65" s="18" t="s">
        <v>9</v>
      </c>
      <c r="B65" s="1">
        <v>43678</v>
      </c>
      <c r="C65" s="3">
        <v>3616</v>
      </c>
      <c r="D65" s="3">
        <v>2749</v>
      </c>
      <c r="E65" s="3">
        <v>524</v>
      </c>
      <c r="F65" s="3">
        <v>299</v>
      </c>
      <c r="G65" s="9">
        <f>(Table1[Terpakai]+Table1[[#This Row],[Staging]])/Table1[Qty Lokasi]</f>
        <v>0.84292035398230092</v>
      </c>
      <c r="H65" s="9">
        <f>Table1[Max]-Table1[Occupancy]</f>
        <v>0.15707964601769908</v>
      </c>
      <c r="I65" s="17">
        <v>1</v>
      </c>
      <c r="K65" s="1" t="s">
        <v>10</v>
      </c>
      <c r="L65" s="1">
        <v>43678</v>
      </c>
      <c r="M65" s="3">
        <v>819</v>
      </c>
      <c r="N65" s="3">
        <v>631</v>
      </c>
      <c r="O65" s="3">
        <v>-70</v>
      </c>
      <c r="P65" s="3">
        <v>241</v>
      </c>
      <c r="Q65" s="9">
        <f>(Table13[Terpakai]+Table13[[#This Row],[Staging]])/Table13[Qty Lokasi]</f>
        <v>1.0647130647130647</v>
      </c>
      <c r="R65" s="9">
        <f>Table13[Max]-Table13[Occupancy]</f>
        <v>-6.4713064713064705E-2</v>
      </c>
      <c r="S65" s="2">
        <v>1</v>
      </c>
      <c r="U65" s="3" t="s">
        <v>11</v>
      </c>
      <c r="V65" s="1">
        <v>43678</v>
      </c>
      <c r="W65" s="3">
        <v>544</v>
      </c>
      <c r="X65" s="3">
        <v>251</v>
      </c>
      <c r="Y65" s="3">
        <v>292</v>
      </c>
      <c r="Z65" s="3">
        <v>45</v>
      </c>
      <c r="AA65" s="9">
        <f>(Table7[Terpakai]+Table7[[#This Row],[Staging]])/Table7[Qty Lokasi]</f>
        <v>0.54411764705882348</v>
      </c>
      <c r="AB65" s="9">
        <f>Table7[Max]-Table7[Occupancy]</f>
        <v>0.45588235294117652</v>
      </c>
      <c r="AC65" s="2">
        <v>1</v>
      </c>
      <c r="AE65" s="26">
        <f>SUM(Table1[[#This Row],[Qty Lokasi]]+Table13[[#This Row],[Qty Lokasi]]+Table7[[#This Row],[Qty Lokasi]])</f>
        <v>4979</v>
      </c>
      <c r="AF65" s="26">
        <f>SUM(Table1[[#This Row],[Available]]+Table13[[#This Row],[Available]]+Table7[[#This Row],[Available]])</f>
        <v>746</v>
      </c>
      <c r="AG65" s="27">
        <f>1-Table3[Available]/Table3[Total]</f>
        <v>0.85017071701144808</v>
      </c>
    </row>
    <row r="66" spans="1:33">
      <c r="A66" s="18" t="s">
        <v>9</v>
      </c>
      <c r="B66" s="1">
        <v>43679</v>
      </c>
      <c r="C66" s="3">
        <v>3616</v>
      </c>
      <c r="D66" s="3">
        <v>2827</v>
      </c>
      <c r="E66" s="3">
        <v>610</v>
      </c>
      <c r="F66" s="3">
        <v>179</v>
      </c>
      <c r="G66" s="9">
        <f>(Table1[Terpakai]+Table1[[#This Row],[Staging]])/Table1[Qty Lokasi]</f>
        <v>0.83130530973451322</v>
      </c>
      <c r="H66" s="9">
        <f>Table1[Max]-Table1[Occupancy]</f>
        <v>0.16869469026548678</v>
      </c>
      <c r="I66" s="17">
        <v>1</v>
      </c>
      <c r="K66" s="1" t="s">
        <v>10</v>
      </c>
      <c r="L66" s="1">
        <v>43679</v>
      </c>
      <c r="M66" s="3">
        <v>958</v>
      </c>
      <c r="N66" s="3">
        <v>643</v>
      </c>
      <c r="O66" s="3">
        <v>122</v>
      </c>
      <c r="P66" s="3">
        <v>159</v>
      </c>
      <c r="Q66" s="9">
        <f>(Table13[Terpakai]+Table13[[#This Row],[Staging]])/Table13[Qty Lokasi]</f>
        <v>0.83716075156576197</v>
      </c>
      <c r="R66" s="9">
        <f>Table13[Max]-Table13[Occupancy]</f>
        <v>0.16283924843423803</v>
      </c>
      <c r="S66" s="2">
        <v>1</v>
      </c>
      <c r="U66" s="3" t="s">
        <v>11</v>
      </c>
      <c r="V66" s="1">
        <v>43679</v>
      </c>
      <c r="W66" s="3">
        <v>544</v>
      </c>
      <c r="X66" s="3">
        <v>229</v>
      </c>
      <c r="Y66" s="3">
        <v>274</v>
      </c>
      <c r="Z66" s="3">
        <v>41</v>
      </c>
      <c r="AA66" s="9">
        <f>(Table7[Terpakai]+Table7[[#This Row],[Staging]])/Table7[Qty Lokasi]</f>
        <v>0.49632352941176472</v>
      </c>
      <c r="AB66" s="9">
        <f>Table7[Max]-Table7[Occupancy]</f>
        <v>0.50367647058823528</v>
      </c>
      <c r="AC66" s="2">
        <v>1</v>
      </c>
      <c r="AE66" s="26">
        <f>SUM(Table1[[#This Row],[Qty Lokasi]]+Table13[[#This Row],[Qty Lokasi]]+Table7[[#This Row],[Qty Lokasi]])</f>
        <v>5118</v>
      </c>
      <c r="AF66" s="26">
        <f>SUM(Table1[[#This Row],[Available]]+Table13[[#This Row],[Available]]+Table7[[#This Row],[Available]])</f>
        <v>1006</v>
      </c>
      <c r="AG66" s="27">
        <f>1-Table3[Available]/Table3[Total]</f>
        <v>0.8034388432981634</v>
      </c>
    </row>
    <row r="67" spans="1:33">
      <c r="A67" s="18" t="s">
        <v>9</v>
      </c>
      <c r="B67" s="1">
        <v>43682</v>
      </c>
      <c r="C67" s="3">
        <v>3616</v>
      </c>
      <c r="D67" s="3">
        <v>2759</v>
      </c>
      <c r="E67" s="3">
        <v>751</v>
      </c>
      <c r="F67" s="3">
        <v>106</v>
      </c>
      <c r="G67" s="9">
        <f>(Table1[Terpakai]+Table1[[#This Row],[Staging]])/Table1[Qty Lokasi]</f>
        <v>0.79231194690265483</v>
      </c>
      <c r="H67" s="9">
        <f>Table1[Max]-Table1[Occupancy]</f>
        <v>0.20768805309734517</v>
      </c>
      <c r="I67" s="17">
        <v>1</v>
      </c>
      <c r="K67" s="1" t="s">
        <v>10</v>
      </c>
      <c r="L67" s="1">
        <v>43682</v>
      </c>
      <c r="M67" s="3">
        <v>958</v>
      </c>
      <c r="N67" s="3">
        <v>675</v>
      </c>
      <c r="O67" s="3">
        <v>179</v>
      </c>
      <c r="P67" s="3">
        <v>84</v>
      </c>
      <c r="Q67" s="9">
        <f>(Table13[Terpakai]+Table13[[#This Row],[Staging]])/Table13[Qty Lokasi]</f>
        <v>0.79227557411273486</v>
      </c>
      <c r="R67" s="9">
        <f>Table13[Max]-Table13[Occupancy]</f>
        <v>0.20772442588726514</v>
      </c>
      <c r="S67" s="2">
        <v>1</v>
      </c>
      <c r="U67" s="3" t="s">
        <v>11</v>
      </c>
      <c r="V67" s="1">
        <v>43682</v>
      </c>
      <c r="W67" s="3">
        <v>544</v>
      </c>
      <c r="X67" s="3">
        <v>259</v>
      </c>
      <c r="Y67" s="3">
        <v>228</v>
      </c>
      <c r="Z67" s="3">
        <v>57</v>
      </c>
      <c r="AA67" s="9">
        <f>(Table7[Terpakai]+Table7[[#This Row],[Staging]])/Table7[Qty Lokasi]</f>
        <v>0.58088235294117652</v>
      </c>
      <c r="AB67" s="9">
        <f>Table7[Max]-Table7[Occupancy]</f>
        <v>0.41911764705882348</v>
      </c>
      <c r="AC67" s="2">
        <v>1</v>
      </c>
      <c r="AE67" s="26">
        <f>SUM(Table1[[#This Row],[Qty Lokasi]]+Table13[[#This Row],[Qty Lokasi]]+Table7[[#This Row],[Qty Lokasi]])</f>
        <v>5118</v>
      </c>
      <c r="AF67" s="26">
        <f>SUM(Table1[[#This Row],[Available]]+Table13[[#This Row],[Available]]+Table7[[#This Row],[Available]])</f>
        <v>1158</v>
      </c>
      <c r="AG67" s="27">
        <f>1-Table3[Available]/Table3[Total]</f>
        <v>0.77373974208675267</v>
      </c>
    </row>
    <row r="68" spans="1:33">
      <c r="A68" s="18" t="s">
        <v>9</v>
      </c>
      <c r="B68" s="1">
        <v>43683</v>
      </c>
      <c r="C68" s="3">
        <v>3616</v>
      </c>
      <c r="D68" s="3">
        <v>2789</v>
      </c>
      <c r="E68" s="3">
        <v>704</v>
      </c>
      <c r="F68" s="3">
        <v>123</v>
      </c>
      <c r="G68" s="9">
        <f>(Table1[Terpakai]+Table1[[#This Row],[Staging]])/Table1[Qty Lokasi]</f>
        <v>0.80530973451327437</v>
      </c>
      <c r="H68" s="9">
        <f>Table1[Max]-Table1[Occupancy]</f>
        <v>0.19469026548672563</v>
      </c>
      <c r="I68" s="17">
        <v>1</v>
      </c>
      <c r="K68" s="1" t="s">
        <v>10</v>
      </c>
      <c r="L68" s="1">
        <v>43683</v>
      </c>
      <c r="M68" s="3">
        <v>958</v>
      </c>
      <c r="N68" s="3">
        <v>714</v>
      </c>
      <c r="O68" s="3">
        <v>189</v>
      </c>
      <c r="P68" s="3">
        <v>55</v>
      </c>
      <c r="Q68" s="9">
        <f>(Table13[Terpakai]+Table13[[#This Row],[Staging]])/Table13[Qty Lokasi]</f>
        <v>0.80271398747390399</v>
      </c>
      <c r="R68" s="9">
        <f>Table13[Max]-Table13[Occupancy]</f>
        <v>0.19728601252609601</v>
      </c>
      <c r="S68" s="2">
        <v>1</v>
      </c>
      <c r="U68" s="3" t="s">
        <v>11</v>
      </c>
      <c r="V68" s="1">
        <v>43683</v>
      </c>
      <c r="W68" s="3">
        <v>544</v>
      </c>
      <c r="X68" s="3">
        <v>279</v>
      </c>
      <c r="Y68" s="3">
        <v>243</v>
      </c>
      <c r="Z68" s="3">
        <v>22</v>
      </c>
      <c r="AA68" s="9">
        <f>(Table7[Terpakai]+Table7[[#This Row],[Staging]])/Table7[Qty Lokasi]</f>
        <v>0.5533088235294118</v>
      </c>
      <c r="AB68" s="9">
        <f>Table7[Max]-Table7[Occupancy]</f>
        <v>0.4466911764705882</v>
      </c>
      <c r="AC68" s="2">
        <v>1</v>
      </c>
      <c r="AE68" s="26">
        <f>SUM(Table1[[#This Row],[Qty Lokasi]]+Table13[[#This Row],[Qty Lokasi]]+Table7[[#This Row],[Qty Lokasi]])</f>
        <v>5118</v>
      </c>
      <c r="AF68" s="26">
        <f>SUM(Table1[[#This Row],[Available]]+Table13[[#This Row],[Available]]+Table7[[#This Row],[Available]])</f>
        <v>1136</v>
      </c>
      <c r="AG68" s="27">
        <f>1-Table3[Available]/Table3[Total]</f>
        <v>0.77803829620945686</v>
      </c>
    </row>
    <row r="69" spans="1:33">
      <c r="A69" s="18" t="s">
        <v>9</v>
      </c>
      <c r="B69" s="1">
        <v>43684</v>
      </c>
      <c r="C69" s="3">
        <v>3616</v>
      </c>
      <c r="D69" s="3">
        <v>2648</v>
      </c>
      <c r="E69" s="3">
        <v>659</v>
      </c>
      <c r="F69" s="3">
        <v>309</v>
      </c>
      <c r="G69" s="9">
        <f>(Table1[Terpakai]+Table1[[#This Row],[Staging]])/Table1[Qty Lokasi]</f>
        <v>0.81775442477876104</v>
      </c>
      <c r="H69" s="9">
        <f>Table1[Max]-Table1[Occupancy]</f>
        <v>0.18224557522123896</v>
      </c>
      <c r="I69" s="17">
        <v>1</v>
      </c>
      <c r="K69" s="1" t="s">
        <v>10</v>
      </c>
      <c r="L69" s="1">
        <v>43684</v>
      </c>
      <c r="M69" s="3">
        <v>958</v>
      </c>
      <c r="N69" s="3">
        <v>721</v>
      </c>
      <c r="O69" s="3">
        <v>147</v>
      </c>
      <c r="P69" s="3">
        <v>80</v>
      </c>
      <c r="Q69" s="9">
        <f>(Table13[Terpakai]+Table13[[#This Row],[Staging]])/Table13[Qty Lokasi]</f>
        <v>0.83611691022964507</v>
      </c>
      <c r="R69" s="9">
        <f>Table13[Max]-Table13[Occupancy]</f>
        <v>0.16388308977035493</v>
      </c>
      <c r="S69" s="2">
        <v>1</v>
      </c>
      <c r="U69" s="3" t="s">
        <v>11</v>
      </c>
      <c r="V69" s="1">
        <v>43684</v>
      </c>
      <c r="W69" s="3">
        <v>544</v>
      </c>
      <c r="X69" s="3">
        <v>296</v>
      </c>
      <c r="Y69" s="3">
        <v>158</v>
      </c>
      <c r="Z69" s="3">
        <v>90</v>
      </c>
      <c r="AA69" s="9">
        <f>(Table7[Terpakai]+Table7[[#This Row],[Staging]])/Table7[Qty Lokasi]</f>
        <v>0.7095588235294118</v>
      </c>
      <c r="AB69" s="9">
        <f>Table7[Max]-Table7[Occupancy]</f>
        <v>0.2904411764705882</v>
      </c>
      <c r="AC69" s="2">
        <v>1</v>
      </c>
      <c r="AE69" s="26">
        <f>SUM(Table1[[#This Row],[Qty Lokasi]]+Table13[[#This Row],[Qty Lokasi]]+Table7[[#This Row],[Qty Lokasi]])</f>
        <v>5118</v>
      </c>
      <c r="AF69" s="26">
        <f>SUM(Table1[[#This Row],[Available]]+Table13[[#This Row],[Available]]+Table7[[#This Row],[Available]])</f>
        <v>964</v>
      </c>
      <c r="AG69" s="27">
        <f>1-Table3[Available]/Table3[Total]</f>
        <v>0.81164517389605317</v>
      </c>
    </row>
    <row r="70" spans="1:33">
      <c r="A70" s="18" t="s">
        <v>9</v>
      </c>
      <c r="B70" s="1">
        <v>43685</v>
      </c>
      <c r="C70" s="3">
        <v>3616</v>
      </c>
      <c r="D70" s="3">
        <v>2711</v>
      </c>
      <c r="E70" s="3">
        <v>554</v>
      </c>
      <c r="F70" s="3">
        <v>351</v>
      </c>
      <c r="G70" s="9">
        <f>(Table1[Terpakai]+Table1[[#This Row],[Staging]])/Table1[Qty Lokasi]</f>
        <v>0.84679203539823011</v>
      </c>
      <c r="H70" s="9">
        <f>Table1[Max]-Table1[Occupancy]</f>
        <v>0.15320796460176989</v>
      </c>
      <c r="I70" s="17">
        <v>1</v>
      </c>
      <c r="K70" s="1" t="s">
        <v>10</v>
      </c>
      <c r="L70" s="1">
        <v>43685</v>
      </c>
      <c r="M70" s="3">
        <v>958</v>
      </c>
      <c r="N70" s="3">
        <v>707</v>
      </c>
      <c r="O70" s="3">
        <v>121</v>
      </c>
      <c r="P70" s="3">
        <v>99</v>
      </c>
      <c r="Q70" s="9">
        <f>(Table13[Terpakai]+Table13[[#This Row],[Staging]])/Table13[Qty Lokasi]</f>
        <v>0.84133611691022969</v>
      </c>
      <c r="R70" s="9">
        <f>Table13[Max]-Table13[Occupancy]</f>
        <v>0.15866388308977031</v>
      </c>
      <c r="S70" s="2">
        <v>1</v>
      </c>
      <c r="U70" s="3" t="s">
        <v>11</v>
      </c>
      <c r="V70" s="1">
        <v>43685</v>
      </c>
      <c r="W70" s="3">
        <v>544</v>
      </c>
      <c r="X70" s="3">
        <v>353</v>
      </c>
      <c r="Y70" s="3">
        <v>103</v>
      </c>
      <c r="Z70" s="3">
        <v>88</v>
      </c>
      <c r="AA70" s="9">
        <f>(Table7[Terpakai]+Table7[[#This Row],[Staging]])/Table7[Qty Lokasi]</f>
        <v>0.81066176470588236</v>
      </c>
      <c r="AB70" s="9">
        <f>Table7[Max]-Table7[Occupancy]</f>
        <v>0.18933823529411764</v>
      </c>
      <c r="AC70" s="2">
        <v>1</v>
      </c>
      <c r="AE70" s="26">
        <f>SUM(Table1[[#This Row],[Qty Lokasi]]+Table13[[#This Row],[Qty Lokasi]]+Table7[[#This Row],[Qty Lokasi]])</f>
        <v>5118</v>
      </c>
      <c r="AF70" s="26">
        <f>SUM(Table1[[#This Row],[Available]]+Table13[[#This Row],[Available]]+Table7[[#This Row],[Available]])</f>
        <v>778</v>
      </c>
      <c r="AG70" s="27">
        <f>1-Table3[Available]/Table3[Total]</f>
        <v>0.84798749511527938</v>
      </c>
    </row>
    <row r="71" spans="1:33">
      <c r="A71" s="18" t="s">
        <v>9</v>
      </c>
      <c r="B71" s="1">
        <v>43686</v>
      </c>
      <c r="C71" s="3">
        <v>3616</v>
      </c>
      <c r="D71" s="3">
        <v>2750</v>
      </c>
      <c r="E71" s="3">
        <v>574</v>
      </c>
      <c r="F71" s="3">
        <v>292</v>
      </c>
      <c r="G71" s="9">
        <f>(Table1[Terpakai]+Table1[[#This Row],[Staging]])/Table1[Qty Lokasi]</f>
        <v>0.84126106194690264</v>
      </c>
      <c r="H71" s="9">
        <f>Table1[Max]-Table1[Occupancy]</f>
        <v>0.15873893805309736</v>
      </c>
      <c r="I71" s="17">
        <v>1</v>
      </c>
      <c r="K71" s="1" t="s">
        <v>10</v>
      </c>
      <c r="L71" s="1">
        <v>43686</v>
      </c>
      <c r="M71" s="3">
        <v>958</v>
      </c>
      <c r="N71" s="3">
        <v>734</v>
      </c>
      <c r="O71" s="3">
        <v>142</v>
      </c>
      <c r="P71" s="3">
        <v>82</v>
      </c>
      <c r="Q71" s="9">
        <f>(Table13[Terpakai]+Table13[[#This Row],[Staging]])/Table13[Qty Lokasi]</f>
        <v>0.85177453027139871</v>
      </c>
      <c r="R71" s="9">
        <f>Table13[Max]-Table13[Occupancy]</f>
        <v>0.14822546972860129</v>
      </c>
      <c r="S71" s="2">
        <v>1</v>
      </c>
      <c r="U71" s="3" t="s">
        <v>11</v>
      </c>
      <c r="V71" s="1">
        <v>43686</v>
      </c>
      <c r="W71" s="3">
        <v>544</v>
      </c>
      <c r="X71" s="3">
        <v>371</v>
      </c>
      <c r="Y71" s="3">
        <v>152</v>
      </c>
      <c r="Z71" s="3">
        <v>21</v>
      </c>
      <c r="AA71" s="9">
        <f>(Table7[Terpakai]+Table7[[#This Row],[Staging]])/Table7[Qty Lokasi]</f>
        <v>0.72058823529411764</v>
      </c>
      <c r="AB71" s="9">
        <f>Table7[Max]-Table7[Occupancy]</f>
        <v>0.27941176470588236</v>
      </c>
      <c r="AC71" s="2">
        <v>1</v>
      </c>
      <c r="AE71" s="26">
        <f>SUM(Table1[[#This Row],[Qty Lokasi]]+Table13[[#This Row],[Qty Lokasi]]+Table7[[#This Row],[Qty Lokasi]])</f>
        <v>5118</v>
      </c>
      <c r="AF71" s="26">
        <f>SUM(Table1[[#This Row],[Available]]+Table13[[#This Row],[Available]]+Table7[[#This Row],[Available]])</f>
        <v>868</v>
      </c>
      <c r="AG71" s="27">
        <f>1-Table3[Available]/Table3[Total]</f>
        <v>0.83040250097694412</v>
      </c>
    </row>
    <row r="72" spans="1:33">
      <c r="A72" s="18" t="s">
        <v>9</v>
      </c>
      <c r="B72" s="1">
        <v>43690</v>
      </c>
      <c r="C72" s="3">
        <v>3616</v>
      </c>
      <c r="D72" s="3">
        <v>2634</v>
      </c>
      <c r="E72" s="3">
        <v>954</v>
      </c>
      <c r="F72" s="3">
        <v>28</v>
      </c>
      <c r="G72" s="9">
        <f>(Table1[Terpakai]+Table1[[#This Row],[Staging]])/Table1[Qty Lokasi]</f>
        <v>0.73617256637168138</v>
      </c>
      <c r="H72" s="9">
        <f>Table1[Max]-Table1[Occupancy]</f>
        <v>0.26382743362831862</v>
      </c>
      <c r="I72" s="17">
        <v>1</v>
      </c>
      <c r="K72" s="1" t="s">
        <v>10</v>
      </c>
      <c r="L72" s="1">
        <v>43690</v>
      </c>
      <c r="M72" s="3">
        <v>958</v>
      </c>
      <c r="N72" s="3">
        <v>747</v>
      </c>
      <c r="O72" s="3">
        <v>192</v>
      </c>
      <c r="P72" s="3">
        <v>19</v>
      </c>
      <c r="Q72" s="9">
        <f>(Table13[Terpakai]+Table13[[#This Row],[Staging]])/Table13[Qty Lokasi]</f>
        <v>0.79958246346555328</v>
      </c>
      <c r="R72" s="9">
        <f>Table13[Max]-Table13[Occupancy]</f>
        <v>0.20041753653444672</v>
      </c>
      <c r="S72" s="2">
        <v>1</v>
      </c>
      <c r="U72" s="3" t="s">
        <v>11</v>
      </c>
      <c r="V72" s="1">
        <v>43690</v>
      </c>
      <c r="W72" s="3">
        <v>544</v>
      </c>
      <c r="X72" s="3">
        <v>368</v>
      </c>
      <c r="Y72" s="3">
        <v>175</v>
      </c>
      <c r="Z72" s="3">
        <v>1</v>
      </c>
      <c r="AA72" s="9">
        <f>(Table7[Terpakai]+Table7[[#This Row],[Staging]])/Table7[Qty Lokasi]</f>
        <v>0.6783088235294118</v>
      </c>
      <c r="AB72" s="9">
        <f>Table7[Max]-Table7[Occupancy]</f>
        <v>0.3216911764705882</v>
      </c>
      <c r="AC72" s="2">
        <v>1</v>
      </c>
      <c r="AE72" s="26">
        <f>SUM(Table1[[#This Row],[Qty Lokasi]]+Table13[[#This Row],[Qty Lokasi]]+Table7[[#This Row],[Qty Lokasi]])</f>
        <v>5118</v>
      </c>
      <c r="AF72" s="26">
        <f>SUM(Table1[[#This Row],[Available]]+Table13[[#This Row],[Available]]+Table7[[#This Row],[Available]])</f>
        <v>1321</v>
      </c>
      <c r="AG72" s="27">
        <f>1-Table3[Available]/Table3[Total]</f>
        <v>0.7418913638139899</v>
      </c>
    </row>
    <row r="73" spans="1:33">
      <c r="A73" s="18" t="s">
        <v>9</v>
      </c>
      <c r="B73" s="1">
        <v>43691</v>
      </c>
      <c r="C73" s="3">
        <v>3616</v>
      </c>
      <c r="D73" s="3">
        <v>2602</v>
      </c>
      <c r="E73" s="3">
        <v>893</v>
      </c>
      <c r="F73" s="3">
        <v>121</v>
      </c>
      <c r="G73" s="9">
        <f>(Table1[Terpakai]+Table1[[#This Row],[Staging]])/Table1[Qty Lokasi]</f>
        <v>0.75304203539823011</v>
      </c>
      <c r="H73" s="9">
        <f>Table1[Max]-Table1[Occupancy]</f>
        <v>0.24695796460176989</v>
      </c>
      <c r="I73" s="17">
        <v>1</v>
      </c>
      <c r="K73" s="1" t="s">
        <v>10</v>
      </c>
      <c r="L73" s="1">
        <v>43691</v>
      </c>
      <c r="M73" s="3">
        <v>958</v>
      </c>
      <c r="N73" s="3">
        <v>750</v>
      </c>
      <c r="O73" s="3">
        <v>172</v>
      </c>
      <c r="P73" s="3">
        <v>36</v>
      </c>
      <c r="Q73" s="9">
        <f>(Table13[Terpakai]+Table13[[#This Row],[Staging]])/Table13[Qty Lokasi]</f>
        <v>0.82045929018789143</v>
      </c>
      <c r="R73" s="9">
        <f>Table13[Max]-Table13[Occupancy]</f>
        <v>0.17954070981210857</v>
      </c>
      <c r="S73" s="2">
        <v>1</v>
      </c>
      <c r="U73" s="3" t="s">
        <v>11</v>
      </c>
      <c r="V73" s="1">
        <v>43691</v>
      </c>
      <c r="W73" s="3">
        <v>544</v>
      </c>
      <c r="X73" s="3">
        <v>402</v>
      </c>
      <c r="Y73" s="3">
        <v>101</v>
      </c>
      <c r="Z73" s="3">
        <v>41</v>
      </c>
      <c r="AA73" s="9">
        <f>(Table7[Terpakai]+Table7[[#This Row],[Staging]])/Table7[Qty Lokasi]</f>
        <v>0.81433823529411764</v>
      </c>
      <c r="AB73" s="9">
        <f>Table7[Max]-Table7[Occupancy]</f>
        <v>0.18566176470588236</v>
      </c>
      <c r="AC73" s="2">
        <v>1</v>
      </c>
      <c r="AE73" s="26">
        <f>SUM(Table1[[#This Row],[Qty Lokasi]]+Table13[[#This Row],[Qty Lokasi]]+Table7[[#This Row],[Qty Lokasi]])</f>
        <v>5118</v>
      </c>
      <c r="AF73" s="26">
        <f>SUM(Table1[[#This Row],[Available]]+Table13[[#This Row],[Available]]+Table7[[#This Row],[Available]])</f>
        <v>1166</v>
      </c>
      <c r="AG73" s="27">
        <f>1-Table3[Available]/Table3[Total]</f>
        <v>0.77217663149667837</v>
      </c>
    </row>
    <row r="74" spans="1:33">
      <c r="A74" s="18" t="s">
        <v>9</v>
      </c>
      <c r="B74" s="1">
        <v>43692</v>
      </c>
      <c r="C74" s="3">
        <v>3616</v>
      </c>
      <c r="D74" s="3">
        <v>2593</v>
      </c>
      <c r="E74" s="3">
        <v>830</v>
      </c>
      <c r="F74" s="3">
        <v>193</v>
      </c>
      <c r="G74" s="9">
        <f>(Table1[Terpakai]+Table1[[#This Row],[Staging]])/Table1[Qty Lokasi]</f>
        <v>0.77046460176991149</v>
      </c>
      <c r="H74" s="9">
        <f>Table1[Max]-Table1[Occupancy]</f>
        <v>0.22953539823008851</v>
      </c>
      <c r="I74" s="17">
        <v>1</v>
      </c>
      <c r="K74" s="1" t="s">
        <v>10</v>
      </c>
      <c r="L74" s="1">
        <v>43692</v>
      </c>
      <c r="M74" s="3">
        <v>958</v>
      </c>
      <c r="N74" s="3">
        <v>704</v>
      </c>
      <c r="O74" s="3">
        <v>215</v>
      </c>
      <c r="P74" s="3">
        <v>39</v>
      </c>
      <c r="Q74" s="9">
        <f>(Table13[Terpakai]+Table13[[#This Row],[Staging]])/Table13[Qty Lokasi]</f>
        <v>0.77557411273486432</v>
      </c>
      <c r="R74" s="9">
        <f>Table13[Max]-Table13[Occupancy]</f>
        <v>0.22442588726513568</v>
      </c>
      <c r="S74" s="2">
        <v>1</v>
      </c>
      <c r="U74" s="3" t="s">
        <v>11</v>
      </c>
      <c r="V74" s="1">
        <v>43692</v>
      </c>
      <c r="W74" s="3">
        <v>544</v>
      </c>
      <c r="X74" s="3">
        <v>331</v>
      </c>
      <c r="Y74" s="3">
        <v>145</v>
      </c>
      <c r="Z74" s="3">
        <v>68</v>
      </c>
      <c r="AA74" s="9">
        <f>(Table7[Terpakai]+Table7[[#This Row],[Staging]])/Table7[Qty Lokasi]</f>
        <v>0.73345588235294112</v>
      </c>
      <c r="AB74" s="9">
        <f>Table7[Max]-Table7[Occupancy]</f>
        <v>0.26654411764705888</v>
      </c>
      <c r="AC74" s="2">
        <v>1</v>
      </c>
      <c r="AE74" s="26">
        <f>SUM(Table1[[#This Row],[Qty Lokasi]]+Table13[[#This Row],[Qty Lokasi]]+Table7[[#This Row],[Qty Lokasi]])</f>
        <v>5118</v>
      </c>
      <c r="AF74" s="26">
        <f>SUM(Table1[[#This Row],[Available]]+Table13[[#This Row],[Available]]+Table7[[#This Row],[Available]])</f>
        <v>1190</v>
      </c>
      <c r="AG74" s="27">
        <f>1-Table3[Available]/Table3[Total]</f>
        <v>0.76748729972645569</v>
      </c>
    </row>
    <row r="75" spans="1:33">
      <c r="A75" s="18" t="s">
        <v>9</v>
      </c>
      <c r="B75" s="1">
        <v>43693</v>
      </c>
      <c r="C75" s="3">
        <v>3616</v>
      </c>
      <c r="D75" s="3">
        <v>2658</v>
      </c>
      <c r="E75" s="3">
        <v>714</v>
      </c>
      <c r="F75" s="3">
        <v>244</v>
      </c>
      <c r="G75" s="9">
        <f>(Table1[Terpakai]+Table1[[#This Row],[Staging]])/Table1[Qty Lokasi]</f>
        <v>0.80254424778761058</v>
      </c>
      <c r="H75" s="9">
        <f>Table1[Max]-Table1[Occupancy]</f>
        <v>0.19745575221238942</v>
      </c>
      <c r="I75" s="17">
        <v>1</v>
      </c>
      <c r="K75" s="1" t="s">
        <v>10</v>
      </c>
      <c r="L75" s="1">
        <v>43693</v>
      </c>
      <c r="M75" s="3">
        <v>958</v>
      </c>
      <c r="N75" s="3">
        <v>699</v>
      </c>
      <c r="O75" s="3">
        <v>137</v>
      </c>
      <c r="P75" s="3">
        <v>122</v>
      </c>
      <c r="Q75" s="9">
        <f>(Table13[Terpakai]+Table13[[#This Row],[Staging]])/Table13[Qty Lokasi]</f>
        <v>0.85699373695198333</v>
      </c>
      <c r="R75" s="9">
        <f>Table13[Max]-Table13[Occupancy]</f>
        <v>0.14300626304801667</v>
      </c>
      <c r="S75" s="2">
        <v>1</v>
      </c>
      <c r="U75" s="3" t="s">
        <v>11</v>
      </c>
      <c r="V75" s="1">
        <v>43693</v>
      </c>
      <c r="W75" s="3">
        <v>544</v>
      </c>
      <c r="X75" s="3">
        <v>337</v>
      </c>
      <c r="Y75" s="3">
        <v>177</v>
      </c>
      <c r="Z75" s="3">
        <v>30</v>
      </c>
      <c r="AA75" s="9">
        <v>0.67463235294117652</v>
      </c>
      <c r="AB75" s="9">
        <f>Table7[Max]-Table7[Occupancy]</f>
        <v>0.32536764705882348</v>
      </c>
      <c r="AC75" s="2">
        <v>1</v>
      </c>
      <c r="AE75" s="26">
        <f>SUM(Table1[[#This Row],[Qty Lokasi]]+Table13[[#This Row],[Qty Lokasi]]+Table7[[#This Row],[Qty Lokasi]])</f>
        <v>5118</v>
      </c>
      <c r="AF75" s="26">
        <f>SUM(Table1[[#This Row],[Available]]+Table13[[#This Row],[Available]]+Table7[[#This Row],[Available]])</f>
        <v>1028</v>
      </c>
      <c r="AG75" s="27">
        <f>1-Table3[Available]/Table3[Total]</f>
        <v>0.7991402891754591</v>
      </c>
    </row>
    <row r="76" spans="1:33">
      <c r="A76" s="18" t="s">
        <v>9</v>
      </c>
      <c r="B76" s="1">
        <v>43696</v>
      </c>
      <c r="C76" s="3">
        <v>3616</v>
      </c>
      <c r="D76" s="3">
        <v>2833</v>
      </c>
      <c r="E76" s="3">
        <v>727</v>
      </c>
      <c r="F76" s="3">
        <v>56</v>
      </c>
      <c r="G76" s="9">
        <f>(Table1[Terpakai]+Table1[[#This Row],[Staging]])/Table1[Qty Lokasi]</f>
        <v>0.79894911504424782</v>
      </c>
      <c r="H76" s="9">
        <f>Table1[Max]-Table1[Occupancy]</f>
        <v>0.20105088495575218</v>
      </c>
      <c r="I76" s="17">
        <v>1</v>
      </c>
      <c r="K76" s="1" t="s">
        <v>10</v>
      </c>
      <c r="L76" s="1">
        <v>43696</v>
      </c>
      <c r="M76" s="3">
        <v>958</v>
      </c>
      <c r="N76" s="3">
        <v>695</v>
      </c>
      <c r="O76" s="3">
        <v>188</v>
      </c>
      <c r="P76" s="3">
        <v>75</v>
      </c>
      <c r="Q76" s="9">
        <f>(Table13[Terpakai]+Table13[[#This Row],[Staging]])/Table13[Qty Lokasi]</f>
        <v>0.80375782881002089</v>
      </c>
      <c r="R76" s="9">
        <f>Table13[Max]-Table13[Occupancy]</f>
        <v>0.19624217118997911</v>
      </c>
      <c r="S76" s="2">
        <v>1</v>
      </c>
      <c r="U76" s="3" t="s">
        <v>11</v>
      </c>
      <c r="V76" s="1">
        <v>43696</v>
      </c>
      <c r="W76" s="3">
        <v>544</v>
      </c>
      <c r="X76" s="3">
        <v>293</v>
      </c>
      <c r="Y76" s="3">
        <v>248</v>
      </c>
      <c r="Z76" s="3">
        <v>3</v>
      </c>
      <c r="AA76" s="9">
        <f>(Table7[Terpakai]+Table7[[#This Row],[Staging]])/Table7[Qty Lokasi]</f>
        <v>0.54411764705882348</v>
      </c>
      <c r="AB76" s="9">
        <f>Table7[Max]-Table7[Occupancy]</f>
        <v>0.45588235294117652</v>
      </c>
      <c r="AC76" s="2">
        <v>1</v>
      </c>
      <c r="AE76" s="26">
        <f>SUM(Table1[[#This Row],[Qty Lokasi]]+Table13[[#This Row],[Qty Lokasi]]+Table7[[#This Row],[Qty Lokasi]])</f>
        <v>5118</v>
      </c>
      <c r="AF76" s="26">
        <f>SUM(Table1[[#This Row],[Available]]+Table13[[#This Row],[Available]]+Table7[[#This Row],[Available]])</f>
        <v>1163</v>
      </c>
      <c r="AG76" s="27">
        <f>1-Table3[Available]/Table3[Total]</f>
        <v>0.77276279796795622</v>
      </c>
    </row>
    <row r="77" spans="1:33">
      <c r="A77" s="18" t="s">
        <v>9</v>
      </c>
      <c r="B77" s="1">
        <v>43697</v>
      </c>
      <c r="C77" s="3">
        <v>3616</v>
      </c>
      <c r="D77" s="3">
        <v>2798</v>
      </c>
      <c r="E77" s="3">
        <v>773</v>
      </c>
      <c r="F77" s="3">
        <v>45</v>
      </c>
      <c r="G77" s="9">
        <f>(Table1[Terpakai]+Table1[[#This Row],[Staging]])/Table1[Qty Lokasi]</f>
        <v>0.78622787610619471</v>
      </c>
      <c r="H77" s="9">
        <f>Table1[Max]-Table1[Occupancy]</f>
        <v>0.21377212389380529</v>
      </c>
      <c r="I77" s="17">
        <v>1</v>
      </c>
      <c r="K77" s="1" t="s">
        <v>10</v>
      </c>
      <c r="L77" s="1">
        <v>43697</v>
      </c>
      <c r="M77" s="3">
        <v>958</v>
      </c>
      <c r="N77" s="3">
        <v>726</v>
      </c>
      <c r="O77" s="3">
        <v>186</v>
      </c>
      <c r="P77" s="3">
        <v>46</v>
      </c>
      <c r="Q77" s="9">
        <f>(Table13[Terpakai]+Table13[[#This Row],[Staging]])/Table13[Qty Lokasi]</f>
        <v>0.80584551148225469</v>
      </c>
      <c r="R77" s="9">
        <f>Table13[Max]-Table13[Occupancy]</f>
        <v>0.19415448851774531</v>
      </c>
      <c r="S77" s="2">
        <v>1</v>
      </c>
      <c r="U77" s="3" t="s">
        <v>11</v>
      </c>
      <c r="V77" s="1">
        <v>43697</v>
      </c>
      <c r="W77" s="3">
        <v>544</v>
      </c>
      <c r="X77" s="3">
        <v>284</v>
      </c>
      <c r="Y77" s="3">
        <v>200</v>
      </c>
      <c r="Z77" s="3">
        <v>60</v>
      </c>
      <c r="AA77" s="9">
        <f>(Table7[Terpakai]+Table7[[#This Row],[Staging]])/Table7[Qty Lokasi]</f>
        <v>0.63235294117647056</v>
      </c>
      <c r="AB77" s="9">
        <f>Table7[Max]-Table7[Occupancy]</f>
        <v>0.36764705882352944</v>
      </c>
      <c r="AC77" s="2">
        <v>1</v>
      </c>
      <c r="AE77" s="26">
        <f>SUM(Table1[[#This Row],[Qty Lokasi]]+Table13[[#This Row],[Qty Lokasi]]+Table7[[#This Row],[Qty Lokasi]])</f>
        <v>5118</v>
      </c>
      <c r="AF77" s="26">
        <f>SUM(Table1[[#This Row],[Available]]+Table13[[#This Row],[Available]]+Table7[[#This Row],[Available]])</f>
        <v>1159</v>
      </c>
      <c r="AG77" s="27">
        <f>1-Table3[Available]/Table3[Total]</f>
        <v>0.77354435326299331</v>
      </c>
    </row>
    <row r="78" spans="1:33">
      <c r="A78" s="18" t="s">
        <v>9</v>
      </c>
      <c r="B78" s="1">
        <v>43698</v>
      </c>
      <c r="C78" s="3">
        <v>3616</v>
      </c>
      <c r="D78" s="3">
        <v>2752</v>
      </c>
      <c r="E78" s="3">
        <v>752</v>
      </c>
      <c r="F78" s="3">
        <v>112</v>
      </c>
      <c r="G78" s="9">
        <f>(Table1[Terpakai]+Table1[[#This Row],[Staging]])/Table1[Qty Lokasi]</f>
        <v>0.79203539823008851</v>
      </c>
      <c r="H78" s="9">
        <f>Table1[Max]-Table1[Occupancy]</f>
        <v>0.20796460176991149</v>
      </c>
      <c r="I78" s="17">
        <v>1</v>
      </c>
      <c r="K78" s="1" t="s">
        <v>10</v>
      </c>
      <c r="L78" s="1">
        <v>43698</v>
      </c>
      <c r="M78" s="3">
        <v>958</v>
      </c>
      <c r="N78" s="3">
        <v>693</v>
      </c>
      <c r="O78" s="3">
        <v>168</v>
      </c>
      <c r="P78" s="3">
        <v>97</v>
      </c>
      <c r="Q78" s="9">
        <f>(Table13[Terpakai]+Table13[[#This Row],[Staging]])/Table13[Qty Lokasi]</f>
        <v>0.82463465553235904</v>
      </c>
      <c r="R78" s="9">
        <f>Table13[Max]-Table13[Occupancy]</f>
        <v>0.17536534446764096</v>
      </c>
      <c r="S78" s="2">
        <v>1</v>
      </c>
      <c r="U78" s="3" t="s">
        <v>11</v>
      </c>
      <c r="V78" s="1">
        <v>43698</v>
      </c>
      <c r="W78" s="3">
        <v>544</v>
      </c>
      <c r="X78" s="3">
        <v>271</v>
      </c>
      <c r="Y78" s="3">
        <v>208</v>
      </c>
      <c r="Z78" s="3">
        <v>65</v>
      </c>
      <c r="AA78" s="9">
        <f>(Table7[Terpakai]+Table7[[#This Row],[Staging]])/Table7[Qty Lokasi]</f>
        <v>0.61764705882352944</v>
      </c>
      <c r="AB78" s="9">
        <f>Table7[Max]-Table7[Occupancy]</f>
        <v>0.38235294117647056</v>
      </c>
      <c r="AC78" s="2">
        <v>1</v>
      </c>
      <c r="AE78" s="26">
        <f>SUM(Table1[[#This Row],[Qty Lokasi]]+Table13[[#This Row],[Qty Lokasi]]+Table7[[#This Row],[Qty Lokasi]])</f>
        <v>5118</v>
      </c>
      <c r="AF78" s="26">
        <f>SUM(Table1[[#This Row],[Available]]+Table13[[#This Row],[Available]]+Table7[[#This Row],[Available]])</f>
        <v>1128</v>
      </c>
      <c r="AG78" s="27">
        <f>1-Table3[Available]/Table3[Total]</f>
        <v>0.77960140679953105</v>
      </c>
    </row>
    <row r="79" spans="1:33">
      <c r="A79" s="18" t="s">
        <v>9</v>
      </c>
      <c r="B79" s="1">
        <v>43699</v>
      </c>
      <c r="C79" s="3">
        <v>3616</v>
      </c>
      <c r="D79" s="3">
        <v>2747</v>
      </c>
      <c r="E79" s="3">
        <v>712</v>
      </c>
      <c r="F79" s="3">
        <v>157</v>
      </c>
      <c r="G79" s="9">
        <f>(Table1[Terpakai]+Table1[[#This Row],[Staging]])/Table1[Qty Lokasi]</f>
        <v>0.80309734513274333</v>
      </c>
      <c r="H79" s="9">
        <f>Table1[Max]-Table1[Occupancy]</f>
        <v>0.19690265486725667</v>
      </c>
      <c r="I79" s="17">
        <v>1</v>
      </c>
      <c r="K79" s="1" t="s">
        <v>10</v>
      </c>
      <c r="L79" s="1">
        <v>43699</v>
      </c>
      <c r="M79" s="3">
        <v>958</v>
      </c>
      <c r="N79" s="3">
        <v>667</v>
      </c>
      <c r="O79" s="3">
        <v>179</v>
      </c>
      <c r="P79" s="3">
        <v>112</v>
      </c>
      <c r="Q79" s="9">
        <f>(Table13[Terpakai]+Table13[[#This Row],[Staging]])/Table13[Qty Lokasi]</f>
        <v>0.81315240083507312</v>
      </c>
      <c r="R79" s="9">
        <f>Table13[Max]-Table13[Occupancy]</f>
        <v>0.18684759916492688</v>
      </c>
      <c r="S79" s="2">
        <v>1</v>
      </c>
      <c r="U79" s="3" t="s">
        <v>11</v>
      </c>
      <c r="V79" s="1">
        <v>43699</v>
      </c>
      <c r="W79" s="3">
        <v>544</v>
      </c>
      <c r="X79" s="3">
        <v>222</v>
      </c>
      <c r="Y79" s="3">
        <v>250</v>
      </c>
      <c r="Z79" s="3">
        <v>72</v>
      </c>
      <c r="AA79" s="9">
        <f>(Table7[Terpakai]+Table7[[#This Row],[Staging]])/Table7[Qty Lokasi]</f>
        <v>0.5404411764705882</v>
      </c>
      <c r="AB79" s="9">
        <f>Table7[Max]-Table7[Occupancy]</f>
        <v>0.4595588235294118</v>
      </c>
      <c r="AC79" s="2">
        <v>1</v>
      </c>
      <c r="AE79" s="26">
        <f>SUM(Table1[[#This Row],[Qty Lokasi]]+Table13[[#This Row],[Qty Lokasi]]+Table7[[#This Row],[Qty Lokasi]])</f>
        <v>5118</v>
      </c>
      <c r="AF79" s="26">
        <f>SUM(Table1[[#This Row],[Available]]+Table13[[#This Row],[Available]]+Table7[[#This Row],[Available]])</f>
        <v>1141</v>
      </c>
      <c r="AG79" s="27">
        <f>1-Table3[Available]/Table3[Total]</f>
        <v>0.77706135209066041</v>
      </c>
    </row>
    <row r="80" spans="1:33">
      <c r="A80" s="18" t="s">
        <v>9</v>
      </c>
      <c r="B80" s="1">
        <v>43700</v>
      </c>
      <c r="C80" s="3">
        <v>3616</v>
      </c>
      <c r="D80" s="3">
        <v>2526</v>
      </c>
      <c r="E80" s="3">
        <v>860</v>
      </c>
      <c r="F80" s="3">
        <v>230</v>
      </c>
      <c r="G80" s="9">
        <f>(Table1[Terpakai]+Table1[[#This Row],[Staging]])/Table1[Qty Lokasi]</f>
        <v>0.76216814159292035</v>
      </c>
      <c r="H80" s="9">
        <f>Table1[Max]-Table1[Occupancy]</f>
        <v>0.23783185840707965</v>
      </c>
      <c r="I80" s="17">
        <v>1</v>
      </c>
      <c r="K80" s="1" t="s">
        <v>10</v>
      </c>
      <c r="L80" s="1">
        <v>43700</v>
      </c>
      <c r="M80" s="3">
        <v>958</v>
      </c>
      <c r="N80" s="3">
        <v>598</v>
      </c>
      <c r="O80" s="3">
        <v>281</v>
      </c>
      <c r="P80" s="3">
        <v>79</v>
      </c>
      <c r="Q80" s="9">
        <f>(Table13[Terpakai]+Table13[[#This Row],[Staging]])/Table13[Qty Lokasi]</f>
        <v>0.70668058455114824</v>
      </c>
      <c r="R80" s="9">
        <f>Table13[Max]-Table13[Occupancy]</f>
        <v>0.29331941544885176</v>
      </c>
      <c r="S80" s="2">
        <v>1</v>
      </c>
      <c r="U80" s="3" t="s">
        <v>11</v>
      </c>
      <c r="V80" s="1">
        <v>43700</v>
      </c>
      <c r="W80" s="3">
        <v>544</v>
      </c>
      <c r="X80" s="3">
        <v>164</v>
      </c>
      <c r="Y80" s="3">
        <v>353</v>
      </c>
      <c r="Z80" s="3">
        <v>27</v>
      </c>
      <c r="AA80" s="9">
        <f>(Table7[Terpakai]+Table7[[#This Row],[Staging]])/Table7[Qty Lokasi]</f>
        <v>0.35110294117647056</v>
      </c>
      <c r="AB80" s="9">
        <f>Table7[Max]-Table7[Occupancy]</f>
        <v>0.64889705882352944</v>
      </c>
      <c r="AC80" s="2">
        <v>1</v>
      </c>
      <c r="AE80" s="26">
        <f>SUM(Table1[[#This Row],[Qty Lokasi]]+Table13[[#This Row],[Qty Lokasi]]+Table7[[#This Row],[Qty Lokasi]])</f>
        <v>5118</v>
      </c>
      <c r="AF80" s="26">
        <f>SUM(Table1[[#This Row],[Available]]+Table13[[#This Row],[Available]]+Table7[[#This Row],[Available]])</f>
        <v>1494</v>
      </c>
      <c r="AG80" s="27">
        <f>1-Table3[Available]/Table3[Total]</f>
        <v>0.70808909730363423</v>
      </c>
    </row>
    <row r="81" spans="1:33">
      <c r="A81" s="18" t="s">
        <v>9</v>
      </c>
      <c r="B81" s="1">
        <v>43703</v>
      </c>
      <c r="C81" s="3">
        <v>3616</v>
      </c>
      <c r="D81" s="3">
        <v>2554</v>
      </c>
      <c r="E81" s="3">
        <v>1003</v>
      </c>
      <c r="F81" s="3">
        <v>59</v>
      </c>
      <c r="G81" s="9">
        <f>(Table1[Terpakai]+Table1[[#This Row],[Staging]])/Table1[Qty Lokasi]</f>
        <v>0.7226216814159292</v>
      </c>
      <c r="H81" s="9">
        <f>Table1[Max]-Table1[Occupancy]</f>
        <v>0.2773783185840708</v>
      </c>
      <c r="I81" s="17">
        <v>1</v>
      </c>
      <c r="K81" s="1" t="s">
        <v>10</v>
      </c>
      <c r="L81" s="1">
        <v>43703</v>
      </c>
      <c r="M81" s="3">
        <v>958</v>
      </c>
      <c r="N81" s="3">
        <v>524</v>
      </c>
      <c r="O81" s="3">
        <v>357</v>
      </c>
      <c r="P81" s="3">
        <v>77</v>
      </c>
      <c r="Q81" s="9">
        <f>(Table13[Terpakai]+Table13[[#This Row],[Staging]])/Table13[Qty Lokasi]</f>
        <v>0.62734864300626303</v>
      </c>
      <c r="R81" s="9">
        <f>Table13[Max]-Table13[Occupancy]</f>
        <v>0.37265135699373697</v>
      </c>
      <c r="S81" s="2">
        <v>1</v>
      </c>
      <c r="U81" s="3" t="s">
        <v>11</v>
      </c>
      <c r="V81" s="1">
        <v>43703</v>
      </c>
      <c r="W81" s="3">
        <v>544</v>
      </c>
      <c r="X81" s="3">
        <v>95</v>
      </c>
      <c r="Y81" s="3">
        <v>343</v>
      </c>
      <c r="Z81" s="3">
        <v>106</v>
      </c>
      <c r="AA81" s="9">
        <f>(Table7[Terpakai]+Table7[[#This Row],[Staging]])/Table7[Qty Lokasi]</f>
        <v>0.36948529411764708</v>
      </c>
      <c r="AB81" s="9">
        <f>Table7[Max]-Table7[Occupancy]</f>
        <v>0.63051470588235292</v>
      </c>
      <c r="AC81" s="2">
        <v>1</v>
      </c>
      <c r="AE81" s="26">
        <f>SUM(Table1[[#This Row],[Qty Lokasi]]+Table13[[#This Row],[Qty Lokasi]]+Table7[[#This Row],[Qty Lokasi]])</f>
        <v>5118</v>
      </c>
      <c r="AF81" s="26">
        <f>SUM(Table1[[#This Row],[Available]]+Table13[[#This Row],[Available]]+Table7[[#This Row],[Available]])</f>
        <v>1703</v>
      </c>
      <c r="AG81" s="27">
        <f>1-Table3[Available]/Table3[Total]</f>
        <v>0.66725283313794459</v>
      </c>
    </row>
    <row r="82" spans="1:33">
      <c r="A82" s="18" t="s">
        <v>9</v>
      </c>
      <c r="B82" s="1">
        <v>43704</v>
      </c>
      <c r="C82" s="3">
        <v>3616</v>
      </c>
      <c r="D82" s="3">
        <v>2875</v>
      </c>
      <c r="E82" s="3">
        <v>650</v>
      </c>
      <c r="F82" s="3">
        <v>91</v>
      </c>
      <c r="G82" s="9">
        <f>(Table1[Terpakai]+Table1[[#This Row],[Staging]])/Table1[Qty Lokasi]</f>
        <v>0.82024336283185839</v>
      </c>
      <c r="H82" s="9">
        <f>Table1[Max]-Table1[Occupancy]</f>
        <v>0.17975663716814161</v>
      </c>
      <c r="I82" s="17">
        <v>1</v>
      </c>
      <c r="K82" s="1" t="s">
        <v>10</v>
      </c>
      <c r="L82" s="1">
        <v>43704</v>
      </c>
      <c r="M82" s="3">
        <v>958</v>
      </c>
      <c r="N82" s="3">
        <v>683</v>
      </c>
      <c r="O82" s="3">
        <v>235</v>
      </c>
      <c r="P82" s="3">
        <v>40</v>
      </c>
      <c r="Q82" s="9">
        <f>(Table13[Terpakai]+Table13[[#This Row],[Staging]])/Table13[Qty Lokasi]</f>
        <v>0.75469728601252606</v>
      </c>
      <c r="R82" s="9">
        <f>Table13[Max]-Table13[Occupancy]</f>
        <v>0.24530271398747394</v>
      </c>
      <c r="S82" s="2">
        <v>1</v>
      </c>
      <c r="U82" s="3" t="s">
        <v>11</v>
      </c>
      <c r="V82" s="1">
        <v>43704</v>
      </c>
      <c r="W82" s="3">
        <v>544</v>
      </c>
      <c r="X82" s="3">
        <v>299</v>
      </c>
      <c r="Y82" s="3">
        <v>245</v>
      </c>
      <c r="Z82" s="3">
        <v>11</v>
      </c>
      <c r="AA82" s="9">
        <f>(Table7[Terpakai]+Table7[[#This Row],[Staging]])/Table7[Qty Lokasi]</f>
        <v>0.56985294117647056</v>
      </c>
      <c r="AB82" s="9">
        <f>Table7[Max]-Table7[Occupancy]</f>
        <v>0.43014705882352944</v>
      </c>
      <c r="AC82" s="2">
        <v>1</v>
      </c>
      <c r="AE82" s="26">
        <f>SUM(Table1[[#This Row],[Qty Lokasi]]+Table13[[#This Row],[Qty Lokasi]]+Table7[[#This Row],[Qty Lokasi]])</f>
        <v>5118</v>
      </c>
      <c r="AF82" s="26">
        <f>SUM(Table1[[#This Row],[Available]]+Table13[[#This Row],[Available]]+Table7[[#This Row],[Available]])</f>
        <v>1130</v>
      </c>
      <c r="AG82" s="27">
        <f>1-Table3[Available]/Table3[Total]</f>
        <v>0.77921062915201245</v>
      </c>
    </row>
    <row r="83" spans="1:33">
      <c r="A83" s="18" t="s">
        <v>9</v>
      </c>
      <c r="B83" s="1">
        <v>43705</v>
      </c>
      <c r="C83" s="3">
        <v>3616</v>
      </c>
      <c r="D83" s="3">
        <v>2826</v>
      </c>
      <c r="E83" s="3">
        <v>663</v>
      </c>
      <c r="F83" s="3">
        <v>127</v>
      </c>
      <c r="G83" s="9">
        <f>(Table1[Terpakai]+Table1[[#This Row],[Staging]])/Table1[Qty Lokasi]</f>
        <v>0.81664823008849563</v>
      </c>
      <c r="H83" s="9">
        <f>Table1[Max]-Table1[Occupancy]</f>
        <v>0.18335176991150437</v>
      </c>
      <c r="I83" s="17">
        <v>1</v>
      </c>
      <c r="K83" s="1" t="s">
        <v>10</v>
      </c>
      <c r="L83" s="1">
        <v>43705</v>
      </c>
      <c r="M83" s="3">
        <v>958</v>
      </c>
      <c r="N83" s="3">
        <v>672</v>
      </c>
      <c r="O83" s="3">
        <v>286</v>
      </c>
      <c r="P83" s="3">
        <v>0</v>
      </c>
      <c r="Q83" s="9">
        <f>(Table13[Terpakai]+Table13[[#This Row],[Staging]])/Table13[Qty Lokasi]</f>
        <v>0.70146137787056373</v>
      </c>
      <c r="R83" s="9">
        <f>Table13[Max]-Table13[Occupancy]</f>
        <v>0.29853862212943627</v>
      </c>
      <c r="S83" s="2">
        <v>1</v>
      </c>
      <c r="U83" s="3" t="s">
        <v>11</v>
      </c>
      <c r="V83" s="1">
        <v>43705</v>
      </c>
      <c r="W83" s="3">
        <v>544</v>
      </c>
      <c r="X83" s="3">
        <v>370</v>
      </c>
      <c r="Y83" s="3">
        <v>174</v>
      </c>
      <c r="Z83" s="3">
        <v>81</v>
      </c>
      <c r="AA83" s="9">
        <f>(Table7[Terpakai]+Table7[[#This Row],[Staging]])/Table7[Qty Lokasi]</f>
        <v>0.82904411764705888</v>
      </c>
      <c r="AB83" s="9">
        <f>Table7[Max]-Table7[Occupancy]</f>
        <v>0.17095588235294112</v>
      </c>
      <c r="AC83" s="2">
        <v>1</v>
      </c>
      <c r="AE83" s="26">
        <f>SUM(Table1[[#This Row],[Qty Lokasi]]+Table13[[#This Row],[Qty Lokasi]]+Table7[[#This Row],[Qty Lokasi]])</f>
        <v>5118</v>
      </c>
      <c r="AF83" s="26">
        <f>SUM(Table1[[#This Row],[Available]]+Table13[[#This Row],[Available]]+Table7[[#This Row],[Available]])</f>
        <v>1123</v>
      </c>
      <c r="AG83" s="27">
        <f>1-Table3[Available]/Table3[Total]</f>
        <v>0.7805783509183275</v>
      </c>
    </row>
    <row r="84" spans="1:33">
      <c r="A84" s="18" t="s">
        <v>9</v>
      </c>
      <c r="B84" s="1">
        <v>43706</v>
      </c>
      <c r="C84" s="3">
        <v>3616</v>
      </c>
      <c r="D84" s="3">
        <v>2956</v>
      </c>
      <c r="E84" s="3">
        <v>519</v>
      </c>
      <c r="F84" s="3">
        <v>141</v>
      </c>
      <c r="G84" s="9">
        <f>(Table1[Terpakai]+Table1[[#This Row],[Staging]])/Table1[Qty Lokasi]</f>
        <v>0.8564712389380531</v>
      </c>
      <c r="H84" s="9">
        <f>Table1[Max]-Table1[Occupancy]</f>
        <v>0.1435287610619469</v>
      </c>
      <c r="I84" s="17">
        <v>1</v>
      </c>
      <c r="K84" s="1" t="s">
        <v>10</v>
      </c>
      <c r="L84" s="1">
        <v>43706</v>
      </c>
      <c r="M84" s="3">
        <v>958</v>
      </c>
      <c r="N84" s="3">
        <v>652</v>
      </c>
      <c r="O84" s="3">
        <v>216</v>
      </c>
      <c r="P84" s="3">
        <v>90</v>
      </c>
      <c r="Q84" s="9">
        <f>(Table13[Terpakai]+Table13[[#This Row],[Staging]])/Table13[Qty Lokasi]</f>
        <v>0.77453027139874742</v>
      </c>
      <c r="R84" s="9">
        <f>Table13[Max]-Table13[Occupancy]</f>
        <v>0.22546972860125258</v>
      </c>
      <c r="S84" s="2">
        <v>1</v>
      </c>
      <c r="U84" s="3" t="s">
        <v>11</v>
      </c>
      <c r="V84" s="1">
        <v>43706</v>
      </c>
      <c r="W84" s="3">
        <v>544</v>
      </c>
      <c r="X84" s="3">
        <v>294</v>
      </c>
      <c r="Y84" s="3">
        <v>250</v>
      </c>
      <c r="Z84" s="3">
        <v>25</v>
      </c>
      <c r="AA84" s="9">
        <f>(Table7[Terpakai]+Table7[[#This Row],[Staging]])/Table7[Qty Lokasi]</f>
        <v>0.58639705882352944</v>
      </c>
      <c r="AB84" s="9">
        <f>Table7[Max]-Table7[Occupancy]</f>
        <v>0.41360294117647056</v>
      </c>
      <c r="AC84" s="2">
        <v>1</v>
      </c>
      <c r="AE84" s="26">
        <f>SUM(Table1[[#This Row],[Qty Lokasi]]+Table13[[#This Row],[Qty Lokasi]]+Table7[[#This Row],[Qty Lokasi]])</f>
        <v>5118</v>
      </c>
      <c r="AF84" s="26">
        <f>SUM(Table1[[#This Row],[Available]]+Table13[[#This Row],[Available]]+Table7[[#This Row],[Available]])</f>
        <v>985</v>
      </c>
      <c r="AG84" s="27">
        <f>1-Table3[Available]/Table3[Total]</f>
        <v>0.80754200859710823</v>
      </c>
    </row>
    <row r="85" spans="1:33">
      <c r="A85" s="18" t="s">
        <v>9</v>
      </c>
      <c r="B85" s="1">
        <v>43710</v>
      </c>
      <c r="C85" s="3">
        <v>3616</v>
      </c>
      <c r="D85" s="3">
        <v>3010</v>
      </c>
      <c r="E85" s="3">
        <v>605</v>
      </c>
      <c r="F85" s="3">
        <v>1</v>
      </c>
      <c r="G85" s="9">
        <f>(Table1[Terpakai]+Table1[[#This Row],[Staging]])/Table1[Qty Lokasi]</f>
        <v>0.83268805309734517</v>
      </c>
      <c r="H85" s="9">
        <f>Table1[Max]-Table1[Occupancy]</f>
        <v>0.16731194690265483</v>
      </c>
      <c r="I85" s="17">
        <v>1</v>
      </c>
      <c r="K85" s="1" t="s">
        <v>10</v>
      </c>
      <c r="L85" s="1">
        <v>43710</v>
      </c>
      <c r="M85" s="3">
        <v>958</v>
      </c>
      <c r="N85" s="3">
        <v>708</v>
      </c>
      <c r="O85" s="3">
        <v>236</v>
      </c>
      <c r="P85" s="3">
        <v>14</v>
      </c>
      <c r="Q85" s="9">
        <f>(Table13[Terpakai]+Table13[[#This Row],[Staging]])/Table13[Qty Lokasi]</f>
        <v>0.75365344467640916</v>
      </c>
      <c r="R85" s="9">
        <f>Table13[Max]-Table13[Occupancy]</f>
        <v>0.24634655532359084</v>
      </c>
      <c r="S85" s="2">
        <v>1</v>
      </c>
      <c r="U85" s="3" t="s">
        <v>11</v>
      </c>
      <c r="V85" s="1">
        <v>43710</v>
      </c>
      <c r="W85" s="3">
        <v>544</v>
      </c>
      <c r="X85" s="3">
        <v>338</v>
      </c>
      <c r="Y85" s="3">
        <v>206</v>
      </c>
      <c r="Z85" s="3">
        <v>84</v>
      </c>
      <c r="AA85" s="9">
        <f>(Table7[Terpakai]+Table7[[#This Row],[Staging]])/Table7[Qty Lokasi]</f>
        <v>0.77573529411764708</v>
      </c>
      <c r="AB85" s="9">
        <f>Table7[Max]-Table7[Occupancy]</f>
        <v>0.22426470588235292</v>
      </c>
      <c r="AC85" s="2">
        <v>1</v>
      </c>
      <c r="AE85" s="26">
        <f>SUM(Table1[[#This Row],[Qty Lokasi]]+Table13[[#This Row],[Qty Lokasi]]+Table7[[#This Row],[Qty Lokasi]])</f>
        <v>5118</v>
      </c>
      <c r="AF85" s="26">
        <f>SUM(Table1[[#This Row],[Available]]+Table13[[#This Row],[Available]]+Table7[[#This Row],[Available]])</f>
        <v>1047</v>
      </c>
      <c r="AG85" s="27">
        <f>1-Table3[Available]/Table3[Total]</f>
        <v>0.79542790152403287</v>
      </c>
    </row>
    <row r="86" spans="1:33">
      <c r="A86" s="18" t="s">
        <v>9</v>
      </c>
      <c r="B86" s="1">
        <v>43711</v>
      </c>
      <c r="C86" s="3">
        <v>3616</v>
      </c>
      <c r="D86" s="3">
        <v>2852</v>
      </c>
      <c r="E86" s="3">
        <v>683</v>
      </c>
      <c r="F86" s="3">
        <v>81</v>
      </c>
      <c r="G86" s="9">
        <f>(Table1[Terpakai]+Table1[[#This Row],[Staging]])/Table1[Qty Lokasi]</f>
        <v>0.81111725663716816</v>
      </c>
      <c r="H86" s="9">
        <f>Table1[Max]-Table1[Occupancy]</f>
        <v>0.18888274336283184</v>
      </c>
      <c r="I86" s="17">
        <v>1</v>
      </c>
      <c r="K86" s="1" t="s">
        <v>10</v>
      </c>
      <c r="L86" s="1">
        <v>43711</v>
      </c>
      <c r="M86" s="3">
        <v>958</v>
      </c>
      <c r="N86" s="3">
        <v>673</v>
      </c>
      <c r="O86" s="3">
        <v>248</v>
      </c>
      <c r="P86" s="3">
        <v>37</v>
      </c>
      <c r="Q86" s="9">
        <f>(Table13[Terpakai]+Table13[[#This Row],[Staging]])/Table13[Qty Lokasi]</f>
        <v>0.74112734864300622</v>
      </c>
      <c r="R86" s="9">
        <f>Table13[Max]-Table13[Occupancy]</f>
        <v>0.25887265135699378</v>
      </c>
      <c r="S86" s="2">
        <v>1</v>
      </c>
      <c r="U86" s="3" t="s">
        <v>11</v>
      </c>
      <c r="V86" s="1">
        <v>43711</v>
      </c>
      <c r="W86" s="3">
        <v>544</v>
      </c>
      <c r="X86" s="3">
        <v>252</v>
      </c>
      <c r="Y86" s="3">
        <v>292</v>
      </c>
      <c r="Z86" s="3">
        <v>17</v>
      </c>
      <c r="AA86" s="9">
        <f>(Table7[Terpakai]+Table7[[#This Row],[Staging]])/Table7[Qty Lokasi]</f>
        <v>0.49448529411764708</v>
      </c>
      <c r="AB86" s="9">
        <f>Table7[Max]-Table7[Occupancy]</f>
        <v>0.50551470588235292</v>
      </c>
      <c r="AC86" s="2">
        <v>1</v>
      </c>
      <c r="AE86" s="26">
        <f>SUM(Table1[[#This Row],[Qty Lokasi]]+Table13[[#This Row],[Qty Lokasi]]+Table7[[#This Row],[Qty Lokasi]])</f>
        <v>5118</v>
      </c>
      <c r="AF86" s="26">
        <f>SUM(Table1[[#This Row],[Available]]+Table13[[#This Row],[Available]]+Table7[[#This Row],[Available]])</f>
        <v>1223</v>
      </c>
      <c r="AG86" s="27">
        <f>1-Table3[Available]/Table3[Total]</f>
        <v>0.76103946854239934</v>
      </c>
    </row>
    <row r="87" spans="1:33">
      <c r="A87" s="18" t="s">
        <v>9</v>
      </c>
      <c r="B87" s="1">
        <v>43712</v>
      </c>
      <c r="C87" s="3">
        <v>3616</v>
      </c>
      <c r="D87" s="3">
        <v>2811</v>
      </c>
      <c r="E87" s="3">
        <v>655</v>
      </c>
      <c r="F87" s="3">
        <v>129</v>
      </c>
      <c r="G87" s="9">
        <f>(Table1[Terpakai]+Table1[[#This Row],[Staging]])/Table1[Qty Lokasi]</f>
        <v>0.81305309734513276</v>
      </c>
      <c r="H87" s="9">
        <f>Table1[Max]-Table1[Occupancy]</f>
        <v>0.18694690265486724</v>
      </c>
      <c r="I87" s="17">
        <v>1</v>
      </c>
      <c r="K87" s="1" t="s">
        <v>10</v>
      </c>
      <c r="L87" s="1">
        <v>43712</v>
      </c>
      <c r="M87" s="3">
        <v>958</v>
      </c>
      <c r="N87" s="3">
        <v>681</v>
      </c>
      <c r="O87" s="3">
        <v>233</v>
      </c>
      <c r="P87" s="3">
        <v>44</v>
      </c>
      <c r="Q87" s="9">
        <f>(Table13[Terpakai]+Table13[[#This Row],[Staging]])/Table13[Qty Lokasi]</f>
        <v>0.75678496868475986</v>
      </c>
      <c r="R87" s="9">
        <f>Table13[Max]-Table13[Occupancy]</f>
        <v>0.24321503131524014</v>
      </c>
      <c r="S87" s="2">
        <v>1</v>
      </c>
      <c r="U87" s="3" t="s">
        <v>11</v>
      </c>
      <c r="V87" s="1">
        <v>43712</v>
      </c>
      <c r="W87" s="3">
        <v>544</v>
      </c>
      <c r="X87" s="3">
        <v>280</v>
      </c>
      <c r="Y87" s="3">
        <v>264</v>
      </c>
      <c r="Z87" s="3">
        <v>37</v>
      </c>
      <c r="AA87" s="9">
        <f>(Table7[Terpakai]+Table7[[#This Row],[Staging]])/Table7[Qty Lokasi]</f>
        <v>0.58272058823529416</v>
      </c>
      <c r="AB87" s="9">
        <f>Table7[Max]-Table7[Occupancy]</f>
        <v>0.41727941176470584</v>
      </c>
      <c r="AC87" s="2">
        <v>1</v>
      </c>
      <c r="AE87" s="26">
        <f>SUM(Table1[[#This Row],[Qty Lokasi]]+Table13[[#This Row],[Qty Lokasi]]+Table7[[#This Row],[Qty Lokasi]])</f>
        <v>5118</v>
      </c>
      <c r="AF87" s="26">
        <f>SUM(Table1[[#This Row],[Available]]+Table13[[#This Row],[Available]]+Table7[[#This Row],[Available]])</f>
        <v>1152</v>
      </c>
      <c r="AG87" s="27">
        <f>1-Table3[Available]/Table3[Total]</f>
        <v>0.77491207502930837</v>
      </c>
    </row>
    <row r="88" spans="1:33">
      <c r="A88" s="18" t="s">
        <v>9</v>
      </c>
      <c r="B88" s="1">
        <v>43713</v>
      </c>
      <c r="C88" s="3">
        <v>3616</v>
      </c>
      <c r="D88" s="3">
        <v>2807</v>
      </c>
      <c r="E88" s="3">
        <v>766</v>
      </c>
      <c r="F88" s="3">
        <v>43</v>
      </c>
      <c r="G88" s="9">
        <f>(Table1[Terpakai]+Table1[[#This Row],[Staging]])/Table1[Qty Lokasi]</f>
        <v>0.78816371681415931</v>
      </c>
      <c r="H88" s="9">
        <f>Table1[Max]-Table1[Occupancy]</f>
        <v>0.21183628318584069</v>
      </c>
      <c r="I88" s="17">
        <v>1</v>
      </c>
      <c r="K88" s="1" t="s">
        <v>10</v>
      </c>
      <c r="L88" s="1">
        <v>43713</v>
      </c>
      <c r="M88" s="3">
        <v>958</v>
      </c>
      <c r="N88" s="3">
        <v>683</v>
      </c>
      <c r="O88" s="3">
        <v>248</v>
      </c>
      <c r="P88" s="3">
        <v>27</v>
      </c>
      <c r="Q88" s="9">
        <f>(Table13[Terpakai]+Table13[[#This Row],[Staging]])/Table13[Qty Lokasi]</f>
        <v>0.74112734864300622</v>
      </c>
      <c r="R88" s="9">
        <f>Table13[Max]-Table13[Occupancy]</f>
        <v>0.25887265135699378</v>
      </c>
      <c r="S88" s="2">
        <v>1</v>
      </c>
      <c r="U88" s="3" t="s">
        <v>11</v>
      </c>
      <c r="V88" s="1">
        <v>43713</v>
      </c>
      <c r="W88" s="3">
        <v>544</v>
      </c>
      <c r="X88" s="3">
        <v>320</v>
      </c>
      <c r="Y88" s="3">
        <v>224</v>
      </c>
      <c r="Z88" s="3">
        <v>46</v>
      </c>
      <c r="AA88" s="9">
        <f>(Table7[Terpakai]+Table7[[#This Row],[Staging]])/Table7[Qty Lokasi]</f>
        <v>0.67279411764705888</v>
      </c>
      <c r="AB88" s="9">
        <f>Table7[Max]-Table7[Occupancy]</f>
        <v>0.32720588235294112</v>
      </c>
      <c r="AC88" s="2">
        <v>1</v>
      </c>
      <c r="AE88" s="26">
        <f>SUM(Table1[[#This Row],[Qty Lokasi]]+Table13[[#This Row],[Qty Lokasi]]+Table7[[#This Row],[Qty Lokasi]])</f>
        <v>5118</v>
      </c>
      <c r="AF88" s="26">
        <f>SUM(Table1[[#This Row],[Available]]+Table13[[#This Row],[Available]]+Table7[[#This Row],[Available]])</f>
        <v>1238</v>
      </c>
      <c r="AG88" s="27">
        <f>1-Table3[Available]/Table3[Total]</f>
        <v>0.7581086361860101</v>
      </c>
    </row>
    <row r="89" spans="1:33">
      <c r="A89" s="18" t="s">
        <v>9</v>
      </c>
      <c r="B89" s="1">
        <v>43714</v>
      </c>
      <c r="C89" s="3">
        <v>3616</v>
      </c>
      <c r="D89" s="3">
        <v>2730</v>
      </c>
      <c r="E89" s="3">
        <v>885</v>
      </c>
      <c r="F89" s="3">
        <v>1</v>
      </c>
      <c r="G89" s="9">
        <f>(Table1[Terpakai]+Table1[[#This Row],[Staging]])/Table1[Qty Lokasi]</f>
        <v>0.75525442477876104</v>
      </c>
      <c r="H89" s="9">
        <f>Table1[Max]-Table1[Occupancy]</f>
        <v>0.24474557522123896</v>
      </c>
      <c r="I89" s="17">
        <v>1</v>
      </c>
      <c r="K89" s="1" t="s">
        <v>10</v>
      </c>
      <c r="L89" s="1">
        <v>43714</v>
      </c>
      <c r="M89" s="3">
        <v>958</v>
      </c>
      <c r="N89" s="3">
        <v>741</v>
      </c>
      <c r="O89" s="3">
        <v>205</v>
      </c>
      <c r="P89" s="3">
        <v>12</v>
      </c>
      <c r="Q89" s="9">
        <f>(Table13[Terpakai]+Table13[[#This Row],[Staging]])/Table13[Qty Lokasi]</f>
        <v>0.78601252609603345</v>
      </c>
      <c r="R89" s="9">
        <f>Table13[Max]-Table13[Occupancy]</f>
        <v>0.21398747390396655</v>
      </c>
      <c r="S89" s="2">
        <v>1</v>
      </c>
      <c r="U89" s="3" t="s">
        <v>11</v>
      </c>
      <c r="V89" s="1">
        <v>43714</v>
      </c>
      <c r="W89" s="3">
        <v>544</v>
      </c>
      <c r="X89" s="3">
        <v>297</v>
      </c>
      <c r="Y89" s="3">
        <v>247</v>
      </c>
      <c r="Z89" s="3">
        <v>24</v>
      </c>
      <c r="AA89" s="9">
        <f>(Table7[Terpakai]+Table7[[#This Row],[Staging]])/Table7[Qty Lokasi]</f>
        <v>0.59007352941176472</v>
      </c>
      <c r="AB89" s="9">
        <f>Table7[Max]-Table7[Occupancy]</f>
        <v>0.40992647058823528</v>
      </c>
      <c r="AC89" s="2">
        <v>1</v>
      </c>
      <c r="AE89" s="26">
        <f>SUM(Table1[[#This Row],[Qty Lokasi]]+Table13[[#This Row],[Qty Lokasi]]+Table7[[#This Row],[Qty Lokasi]])</f>
        <v>5118</v>
      </c>
      <c r="AF89" s="26">
        <f>SUM(Table1[[#This Row],[Available]]+Table13[[#This Row],[Available]]+Table7[[#This Row],[Available]])</f>
        <v>1337</v>
      </c>
      <c r="AG89" s="27">
        <f>1-Table3[Available]/Table3[Total]</f>
        <v>0.7387651426338413</v>
      </c>
    </row>
    <row r="90" spans="1:33">
      <c r="A90" s="18" t="s">
        <v>9</v>
      </c>
      <c r="B90" s="1">
        <v>43717</v>
      </c>
      <c r="C90" s="3">
        <v>3616</v>
      </c>
      <c r="D90" s="3">
        <v>2688</v>
      </c>
      <c r="E90" s="3">
        <v>927</v>
      </c>
      <c r="F90" s="3">
        <v>1</v>
      </c>
      <c r="G90" s="9">
        <f>(Table1[Terpakai]+Table1[[#This Row],[Staging]])/Table1[Qty Lokasi]</f>
        <v>0.74363938053097345</v>
      </c>
      <c r="H90" s="9">
        <f>Table1[Max]-Table1[Occupancy]</f>
        <v>0.25636061946902655</v>
      </c>
      <c r="I90" s="17">
        <v>1</v>
      </c>
      <c r="K90" s="1" t="s">
        <v>10</v>
      </c>
      <c r="L90" s="1">
        <v>43717</v>
      </c>
      <c r="M90" s="3">
        <v>958</v>
      </c>
      <c r="N90" s="3">
        <v>699</v>
      </c>
      <c r="O90" s="3">
        <v>258</v>
      </c>
      <c r="P90" s="3">
        <v>1</v>
      </c>
      <c r="Q90" s="9">
        <f>(Table13[Terpakai]+Table13[[#This Row],[Staging]])/Table13[Qty Lokasi]</f>
        <v>0.7306889352818372</v>
      </c>
      <c r="R90" s="9">
        <f>Table13[Max]-Table13[Occupancy]</f>
        <v>0.2693110647181628</v>
      </c>
      <c r="S90" s="2">
        <v>1</v>
      </c>
      <c r="U90" s="3" t="s">
        <v>11</v>
      </c>
      <c r="V90" s="1">
        <v>43717</v>
      </c>
      <c r="W90" s="3">
        <v>544</v>
      </c>
      <c r="X90" s="3">
        <v>311</v>
      </c>
      <c r="Y90" s="3">
        <v>233</v>
      </c>
      <c r="Z90" s="3">
        <v>27</v>
      </c>
      <c r="AA90" s="9">
        <f>(Table7[Terpakai]+Table7[[#This Row],[Staging]])/Table7[Qty Lokasi]</f>
        <v>0.62132352941176472</v>
      </c>
      <c r="AB90" s="9">
        <f>Table7[Max]-Table7[Occupancy]</f>
        <v>0.37867647058823528</v>
      </c>
      <c r="AC90" s="2">
        <v>1</v>
      </c>
      <c r="AE90" s="26">
        <f>SUM(Table1[[#This Row],[Qty Lokasi]]+Table13[[#This Row],[Qty Lokasi]]+Table7[[#This Row],[Qty Lokasi]])</f>
        <v>5118</v>
      </c>
      <c r="AF90" s="26">
        <f>SUM(Table1[[#This Row],[Available]]+Table13[[#This Row],[Available]]+Table7[[#This Row],[Available]])</f>
        <v>1418</v>
      </c>
      <c r="AG90" s="27">
        <f>1-Table3[Available]/Table3[Total]</f>
        <v>0.72293864790933959</v>
      </c>
    </row>
    <row r="91" spans="1:33">
      <c r="A91" s="18" t="s">
        <v>9</v>
      </c>
      <c r="B91" s="1">
        <v>43718</v>
      </c>
      <c r="C91" s="3">
        <v>3616</v>
      </c>
      <c r="D91" s="3">
        <v>2653</v>
      </c>
      <c r="E91" s="3">
        <v>833</v>
      </c>
      <c r="F91" s="3">
        <v>130</v>
      </c>
      <c r="G91" s="9">
        <f>(Table1[Terpakai]+Table1[[#This Row],[Staging]])/Table1[Qty Lokasi]</f>
        <v>0.76963495575221241</v>
      </c>
      <c r="H91" s="9">
        <f>Table1[Max]-Table1[Occupancy]</f>
        <v>0.23036504424778759</v>
      </c>
      <c r="I91" s="17">
        <v>1</v>
      </c>
      <c r="K91" s="1" t="s">
        <v>10</v>
      </c>
      <c r="L91" s="1">
        <v>43718</v>
      </c>
      <c r="M91" s="3">
        <v>958</v>
      </c>
      <c r="N91" s="3">
        <v>655</v>
      </c>
      <c r="O91" s="3">
        <v>253</v>
      </c>
      <c r="P91" s="3">
        <v>50</v>
      </c>
      <c r="Q91" s="9">
        <f>(Table13[Terpakai]+Table13[[#This Row],[Staging]])/Table13[Qty Lokasi]</f>
        <v>0.73590814196242171</v>
      </c>
      <c r="R91" s="9">
        <f>Table13[Max]-Table13[Occupancy]</f>
        <v>0.26409185803757829</v>
      </c>
      <c r="S91" s="2">
        <v>1</v>
      </c>
      <c r="U91" s="3" t="s">
        <v>11</v>
      </c>
      <c r="V91" s="1">
        <v>43718</v>
      </c>
      <c r="W91" s="3">
        <v>544</v>
      </c>
      <c r="X91" s="3">
        <v>297</v>
      </c>
      <c r="Y91" s="3">
        <v>247</v>
      </c>
      <c r="Z91" s="3">
        <v>20</v>
      </c>
      <c r="AA91" s="9">
        <f>(Table7[Terpakai]+Table7[[#This Row],[Staging]])/Table7[Qty Lokasi]</f>
        <v>0.58272058823529416</v>
      </c>
      <c r="AB91" s="9">
        <f>Table7[Max]-Table7[Occupancy]</f>
        <v>0.41727941176470584</v>
      </c>
      <c r="AC91" s="2">
        <v>1</v>
      </c>
      <c r="AE91" s="26">
        <f>SUM(Table1[[#This Row],[Qty Lokasi]]+Table13[[#This Row],[Qty Lokasi]]+Table7[[#This Row],[Qty Lokasi]])</f>
        <v>5118</v>
      </c>
      <c r="AF91" s="26">
        <f>SUM(Table1[[#This Row],[Available]]+Table13[[#This Row],[Available]]+Table7[[#This Row],[Available]])</f>
        <v>1333</v>
      </c>
      <c r="AG91" s="27">
        <f>1-Table3[Available]/Table3[Total]</f>
        <v>0.7395466979288785</v>
      </c>
    </row>
    <row r="92" spans="1:33">
      <c r="A92" s="18" t="s">
        <v>9</v>
      </c>
      <c r="B92" s="1">
        <v>43719</v>
      </c>
      <c r="C92" s="3">
        <v>3616</v>
      </c>
      <c r="D92" s="3">
        <v>2802</v>
      </c>
      <c r="E92" s="3">
        <v>783</v>
      </c>
      <c r="F92" s="3">
        <v>31</v>
      </c>
      <c r="G92" s="9">
        <f>(Table1[Terpakai]+Table1[[#This Row],[Staging]])/Table1[Qty Lokasi]</f>
        <v>0.78346238938053092</v>
      </c>
      <c r="H92" s="9">
        <f>Table1[Max]-Table1[Occupancy]</f>
        <v>0.21653761061946908</v>
      </c>
      <c r="I92" s="17">
        <v>1</v>
      </c>
      <c r="K92" s="1" t="s">
        <v>10</v>
      </c>
      <c r="L92" s="1">
        <v>43719</v>
      </c>
      <c r="M92" s="3">
        <v>958</v>
      </c>
      <c r="N92" s="3">
        <v>639</v>
      </c>
      <c r="O92" s="3">
        <v>199</v>
      </c>
      <c r="P92" s="3">
        <v>120</v>
      </c>
      <c r="Q92" s="9">
        <f>(Table13[Terpakai]+Table13[[#This Row],[Staging]])/Table13[Qty Lokasi]</f>
        <v>0.79227557411273486</v>
      </c>
      <c r="R92" s="9">
        <f>Table13[Max]-Table13[Occupancy]</f>
        <v>0.20772442588726514</v>
      </c>
      <c r="S92" s="2">
        <v>1</v>
      </c>
      <c r="U92" s="3" t="s">
        <v>11</v>
      </c>
      <c r="V92" s="1">
        <v>43719</v>
      </c>
      <c r="W92" s="3">
        <v>544</v>
      </c>
      <c r="X92" s="3">
        <v>287</v>
      </c>
      <c r="Y92" s="3">
        <v>257</v>
      </c>
      <c r="Z92" s="3">
        <v>13</v>
      </c>
      <c r="AA92" s="9">
        <f>(Table7[Terpakai]+Table7[[#This Row],[Staging]])/Table7[Qty Lokasi]</f>
        <v>0.55147058823529416</v>
      </c>
      <c r="AB92" s="9">
        <f>Table7[Max]-Table7[Occupancy]</f>
        <v>0.44852941176470584</v>
      </c>
      <c r="AC92" s="2">
        <v>1</v>
      </c>
      <c r="AE92" s="26">
        <f>SUM(Table1[[#This Row],[Qty Lokasi]]+Table13[[#This Row],[Qty Lokasi]]+Table7[[#This Row],[Qty Lokasi]])</f>
        <v>5118</v>
      </c>
      <c r="AF92" s="26">
        <f>SUM(Table1[[#This Row],[Available]]+Table13[[#This Row],[Available]]+Table7[[#This Row],[Available]])</f>
        <v>1239</v>
      </c>
      <c r="AG92" s="27">
        <f>1-Table3[Available]/Table3[Total]</f>
        <v>0.75791324736225085</v>
      </c>
    </row>
    <row r="93" spans="1:33">
      <c r="A93" s="18" t="s">
        <v>9</v>
      </c>
      <c r="B93" s="1">
        <v>43720</v>
      </c>
      <c r="C93" s="3">
        <v>3616</v>
      </c>
      <c r="D93" s="3">
        <v>2762</v>
      </c>
      <c r="E93" s="3">
        <v>698</v>
      </c>
      <c r="F93" s="3">
        <v>156</v>
      </c>
      <c r="G93" s="9">
        <f>(Table1[Terpakai]+Table1[[#This Row],[Staging]])/Table1[Qty Lokasi]</f>
        <v>0.80696902654867253</v>
      </c>
      <c r="H93" s="9">
        <f>Table1[Max]-Table1[Occupancy]</f>
        <v>0.19303097345132747</v>
      </c>
      <c r="I93" s="17">
        <v>1</v>
      </c>
      <c r="K93" s="1" t="s">
        <v>10</v>
      </c>
      <c r="L93" s="1">
        <v>43720</v>
      </c>
      <c r="M93" s="3">
        <v>958</v>
      </c>
      <c r="N93" s="3">
        <v>673</v>
      </c>
      <c r="O93" s="3">
        <v>223</v>
      </c>
      <c r="P93" s="3">
        <v>62</v>
      </c>
      <c r="Q93" s="9">
        <f>(Table13[Terpakai]+Table13[[#This Row],[Staging]])/Table13[Qty Lokasi]</f>
        <v>0.76722338204592899</v>
      </c>
      <c r="R93" s="9">
        <f>Table13[Max]-Table13[Occupancy]</f>
        <v>0.23277661795407101</v>
      </c>
      <c r="S93" s="2">
        <v>1</v>
      </c>
      <c r="U93" s="3" t="s">
        <v>11</v>
      </c>
      <c r="V93" s="1">
        <v>43720</v>
      </c>
      <c r="W93" s="3">
        <v>544</v>
      </c>
      <c r="X93" s="3">
        <v>244</v>
      </c>
      <c r="Y93" s="3">
        <v>300</v>
      </c>
      <c r="Z93" s="3">
        <v>54</v>
      </c>
      <c r="AA93" s="9">
        <f>(Table7[Terpakai]+Table7[[#This Row],[Staging]])/Table7[Qty Lokasi]</f>
        <v>0.54779411764705888</v>
      </c>
      <c r="AB93" s="9">
        <f>Table7[Max]-Table7[Occupancy]</f>
        <v>0.45220588235294112</v>
      </c>
      <c r="AC93" s="2">
        <v>1</v>
      </c>
      <c r="AE93" s="26">
        <f>SUM(Table1[[#This Row],[Qty Lokasi]]+Table13[[#This Row],[Qty Lokasi]]+Table7[[#This Row],[Qty Lokasi]])</f>
        <v>5118</v>
      </c>
      <c r="AF93" s="26">
        <f>SUM(Table1[[#This Row],[Available]]+Table13[[#This Row],[Available]]+Table7[[#This Row],[Available]])</f>
        <v>1221</v>
      </c>
      <c r="AG93" s="27">
        <f>1-Table3[Available]/Table3[Total]</f>
        <v>0.76143024618991795</v>
      </c>
    </row>
    <row r="94" spans="1:33">
      <c r="A94" s="18" t="s">
        <v>9</v>
      </c>
      <c r="B94" s="1">
        <v>43721</v>
      </c>
      <c r="C94" s="3">
        <v>3616</v>
      </c>
      <c r="D94" s="3">
        <v>2804</v>
      </c>
      <c r="E94" s="3">
        <v>719</v>
      </c>
      <c r="F94" s="3">
        <v>93</v>
      </c>
      <c r="G94" s="9">
        <f>(Table1[Terpakai]+Table1[[#This Row],[Staging]])/Table1[Qty Lokasi]</f>
        <v>0.80116150442477874</v>
      </c>
      <c r="H94" s="9">
        <f>Table1[Max]-Table1[Occupancy]</f>
        <v>0.19883849557522126</v>
      </c>
      <c r="I94" s="17">
        <v>1</v>
      </c>
      <c r="K94" s="1" t="s">
        <v>10</v>
      </c>
      <c r="L94" s="1">
        <v>43721</v>
      </c>
      <c r="M94" s="3">
        <v>958</v>
      </c>
      <c r="N94" s="3">
        <v>648</v>
      </c>
      <c r="O94" s="3">
        <v>261</v>
      </c>
      <c r="P94" s="3">
        <v>49</v>
      </c>
      <c r="Q94" s="9">
        <f>(Table13[Terpakai]+Table13[[#This Row],[Staging]])/Table13[Qty Lokasi]</f>
        <v>0.72755741127348639</v>
      </c>
      <c r="R94" s="9">
        <f>Table13[Max]-Table13[Occupancy]</f>
        <v>0.27244258872651361</v>
      </c>
      <c r="S94" s="2">
        <v>1</v>
      </c>
      <c r="U94" s="3" t="s">
        <v>11</v>
      </c>
      <c r="V94" s="1">
        <v>43721</v>
      </c>
      <c r="W94" s="3">
        <v>544</v>
      </c>
      <c r="X94" s="3">
        <v>249</v>
      </c>
      <c r="Y94" s="3">
        <v>295</v>
      </c>
      <c r="Z94" s="3">
        <v>16</v>
      </c>
      <c r="AA94" s="9">
        <f>(Table7[Terpakai]+Table7[[#This Row],[Staging]])/Table7[Qty Lokasi]</f>
        <v>0.48713235294117646</v>
      </c>
      <c r="AB94" s="9">
        <f>Table7[Max]-Table7[Occupancy]</f>
        <v>0.51286764705882359</v>
      </c>
      <c r="AC94" s="2">
        <v>1</v>
      </c>
      <c r="AE94" s="26">
        <f>SUM(Table1[[#This Row],[Qty Lokasi]]+Table13[[#This Row],[Qty Lokasi]]+Table7[[#This Row],[Qty Lokasi]])</f>
        <v>5118</v>
      </c>
      <c r="AF94" s="26">
        <f>SUM(Table1[[#This Row],[Available]]+Table13[[#This Row],[Available]]+Table7[[#This Row],[Available]])</f>
        <v>1275</v>
      </c>
      <c r="AG94" s="27">
        <f>1-Table3[Available]/Table3[Total]</f>
        <v>0.75087924970691677</v>
      </c>
    </row>
    <row r="95" spans="1:33">
      <c r="A95" s="18" t="s">
        <v>9</v>
      </c>
      <c r="B95" s="1">
        <v>43724</v>
      </c>
      <c r="C95" s="3">
        <v>3616</v>
      </c>
      <c r="D95" s="3">
        <v>2678</v>
      </c>
      <c r="E95" s="3">
        <v>861</v>
      </c>
      <c r="F95" s="3">
        <v>77</v>
      </c>
      <c r="G95" s="9">
        <f>(Table1[Terpakai]+Table1[[#This Row],[Staging]])/Table1[Qty Lokasi]</f>
        <v>0.76189159292035402</v>
      </c>
      <c r="H95" s="9">
        <f>Table1[Max]-Table1[Occupancy]</f>
        <v>0.23810840707964598</v>
      </c>
      <c r="I95" s="17">
        <v>1</v>
      </c>
      <c r="K95" s="1" t="s">
        <v>10</v>
      </c>
      <c r="L95" s="1">
        <v>43724</v>
      </c>
      <c r="M95" s="3">
        <v>958</v>
      </c>
      <c r="N95" s="3">
        <v>603</v>
      </c>
      <c r="O95" s="3">
        <v>296</v>
      </c>
      <c r="P95" s="3">
        <v>59</v>
      </c>
      <c r="Q95" s="9">
        <f>(Table13[Terpakai]+Table13[[#This Row],[Staging]])/Table13[Qty Lokasi]</f>
        <v>0.6910229645093946</v>
      </c>
      <c r="R95" s="9">
        <f>Table13[Max]-Table13[Occupancy]</f>
        <v>0.3089770354906054</v>
      </c>
      <c r="S95" s="2">
        <v>1</v>
      </c>
      <c r="U95" s="3" t="s">
        <v>11</v>
      </c>
      <c r="V95" s="1">
        <v>43724</v>
      </c>
      <c r="W95" s="3">
        <v>544</v>
      </c>
      <c r="X95" s="3">
        <v>225</v>
      </c>
      <c r="Y95" s="3">
        <v>319</v>
      </c>
      <c r="Z95" s="3">
        <v>72</v>
      </c>
      <c r="AA95" s="9">
        <f>(Table7[Terpakai]+Table7[[#This Row],[Staging]])/Table7[Qty Lokasi]</f>
        <v>0.54595588235294112</v>
      </c>
      <c r="AB95" s="9">
        <f>Table7[Max]-Table7[Occupancy]</f>
        <v>0.45404411764705888</v>
      </c>
      <c r="AC95" s="2">
        <v>1</v>
      </c>
      <c r="AE95" s="26">
        <f>SUM(Table1[[#This Row],[Qty Lokasi]]+Table13[[#This Row],[Qty Lokasi]]+Table7[[#This Row],[Qty Lokasi]])</f>
        <v>5118</v>
      </c>
      <c r="AF95" s="26">
        <f>SUM(Table1[[#This Row],[Available]]+Table13[[#This Row],[Available]]+Table7[[#This Row],[Available]])</f>
        <v>1476</v>
      </c>
      <c r="AG95" s="27">
        <f>1-Table3[Available]/Table3[Total]</f>
        <v>0.71160609613130132</v>
      </c>
    </row>
    <row r="96" spans="1:33">
      <c r="A96" s="18" t="s">
        <v>9</v>
      </c>
      <c r="B96" s="1">
        <v>43725</v>
      </c>
      <c r="C96" s="3">
        <v>3616</v>
      </c>
      <c r="D96" s="3">
        <v>2650</v>
      </c>
      <c r="E96" s="3">
        <v>899</v>
      </c>
      <c r="F96" s="3">
        <v>67</v>
      </c>
      <c r="G96" s="9">
        <f>(Table1[Terpakai]+Table1[[#This Row],[Staging]])/Table1[Qty Lokasi]</f>
        <v>0.75138274336283184</v>
      </c>
      <c r="H96" s="9">
        <f>Table1[Max]-Table1[Occupancy]</f>
        <v>0.24861725663716816</v>
      </c>
      <c r="I96" s="17">
        <v>1</v>
      </c>
      <c r="K96" s="1" t="s">
        <v>10</v>
      </c>
      <c r="L96" s="1">
        <v>43725</v>
      </c>
      <c r="M96" s="3">
        <v>958</v>
      </c>
      <c r="N96" s="3">
        <v>634</v>
      </c>
      <c r="O96" s="3">
        <v>250</v>
      </c>
      <c r="P96" s="3">
        <v>74</v>
      </c>
      <c r="Q96" s="9">
        <f>(Table13[Terpakai]+Table13[[#This Row],[Staging]])/Table13[Qty Lokasi]</f>
        <v>0.73903966597077242</v>
      </c>
      <c r="R96" s="9">
        <f>Table13[Max]-Table13[Occupancy]</f>
        <v>0.26096033402922758</v>
      </c>
      <c r="S96" s="2">
        <v>1</v>
      </c>
      <c r="U96" s="3" t="s">
        <v>11</v>
      </c>
      <c r="V96" s="1">
        <v>43725</v>
      </c>
      <c r="W96" s="3">
        <v>544</v>
      </c>
      <c r="X96" s="3">
        <v>256</v>
      </c>
      <c r="Y96" s="3">
        <v>288</v>
      </c>
      <c r="Z96" s="3">
        <v>67</v>
      </c>
      <c r="AA96" s="9">
        <f>(Table7[Terpakai]+Table7[[#This Row],[Staging]])/Table7[Qty Lokasi]</f>
        <v>0.59375</v>
      </c>
      <c r="AB96" s="9">
        <f>Table7[Max]-Table7[Occupancy]</f>
        <v>0.40625</v>
      </c>
      <c r="AC96" s="2">
        <v>1</v>
      </c>
      <c r="AE96" s="26">
        <f>SUM(Table1[[#This Row],[Qty Lokasi]]+Table13[[#This Row],[Qty Lokasi]]+Table7[[#This Row],[Qty Lokasi]])</f>
        <v>5118</v>
      </c>
      <c r="AF96" s="26">
        <f>SUM(Table1[[#This Row],[Available]]+Table13[[#This Row],[Available]]+Table7[[#This Row],[Available]])</f>
        <v>1437</v>
      </c>
      <c r="AG96" s="27">
        <f>1-Table3[Available]/Table3[Total]</f>
        <v>0.71922626025791325</v>
      </c>
    </row>
    <row r="97" spans="1:33">
      <c r="A97" s="18" t="s">
        <v>9</v>
      </c>
      <c r="B97" s="1">
        <v>43726</v>
      </c>
      <c r="C97" s="3">
        <v>3616</v>
      </c>
      <c r="D97" s="3">
        <v>2579</v>
      </c>
      <c r="E97" s="3">
        <v>780</v>
      </c>
      <c r="F97" s="3">
        <v>257</v>
      </c>
      <c r="G97" s="9">
        <f>(Table1[Terpakai]+Table1[[#This Row],[Staging]])/Table1[Qty Lokasi]</f>
        <v>0.78429203539823011</v>
      </c>
      <c r="H97" s="9">
        <f>Table1[Max]-Table1[Occupancy]</f>
        <v>0.21570796460176989</v>
      </c>
      <c r="I97" s="17">
        <v>1</v>
      </c>
      <c r="K97" s="1" t="s">
        <v>10</v>
      </c>
      <c r="L97" s="1">
        <v>43726</v>
      </c>
      <c r="M97" s="3">
        <v>958</v>
      </c>
      <c r="N97" s="3">
        <v>609</v>
      </c>
      <c r="O97" s="3">
        <v>228</v>
      </c>
      <c r="P97" s="3">
        <v>121</v>
      </c>
      <c r="Q97" s="9">
        <f>(Table13[Terpakai]+Table13[[#This Row],[Staging]])/Table13[Qty Lokasi]</f>
        <v>0.76200417536534448</v>
      </c>
      <c r="R97" s="9">
        <f>Table13[Max]-Table13[Occupancy]</f>
        <v>0.23799582463465552</v>
      </c>
      <c r="S97" s="2">
        <v>1</v>
      </c>
      <c r="U97" s="3" t="s">
        <v>11</v>
      </c>
      <c r="V97" s="1">
        <v>43726</v>
      </c>
      <c r="W97" s="3">
        <v>544</v>
      </c>
      <c r="X97" s="3">
        <v>215</v>
      </c>
      <c r="Y97" s="3">
        <v>329</v>
      </c>
      <c r="Z97" s="3">
        <v>15</v>
      </c>
      <c r="AA97" s="9">
        <f>(Table7[Terpakai]+Table7[[#This Row],[Staging]])/Table7[Qty Lokasi]</f>
        <v>0.42279411764705882</v>
      </c>
      <c r="AB97" s="9">
        <f>Table7[Max]-Table7[Occupancy]</f>
        <v>0.57720588235294112</v>
      </c>
      <c r="AC97" s="2">
        <v>1</v>
      </c>
      <c r="AE97" s="26">
        <f>SUM(Table1[[#This Row],[Qty Lokasi]]+Table13[[#This Row],[Qty Lokasi]]+Table7[[#This Row],[Qty Lokasi]])</f>
        <v>5118</v>
      </c>
      <c r="AF97" s="26">
        <f>SUM(Table1[[#This Row],[Available]]+Table13[[#This Row],[Available]]+Table7[[#This Row],[Available]])</f>
        <v>1337</v>
      </c>
      <c r="AG97" s="27">
        <f>1-Table3[Available]/Table3[Total]</f>
        <v>0.7387651426338413</v>
      </c>
    </row>
    <row r="98" spans="1:33">
      <c r="A98" s="18" t="s">
        <v>9</v>
      </c>
      <c r="B98" s="1">
        <v>43727</v>
      </c>
      <c r="C98" s="3">
        <v>3616</v>
      </c>
      <c r="D98" s="3">
        <v>2624</v>
      </c>
      <c r="E98" s="3">
        <v>814</v>
      </c>
      <c r="F98" s="3">
        <v>178</v>
      </c>
      <c r="G98" s="9">
        <f>(Table1[Terpakai]+Table1[[#This Row],[Staging]])/Table1[Qty Lokasi]</f>
        <v>0.77488938053097345</v>
      </c>
      <c r="H98" s="9">
        <f>Table1[Max]-Table1[Occupancy]</f>
        <v>0.22511061946902655</v>
      </c>
      <c r="I98" s="17">
        <v>1</v>
      </c>
      <c r="K98" s="1" t="s">
        <v>10</v>
      </c>
      <c r="L98" s="1">
        <v>43727</v>
      </c>
      <c r="M98" s="3">
        <v>958</v>
      </c>
      <c r="N98" s="3">
        <v>681</v>
      </c>
      <c r="O98" s="3">
        <v>248</v>
      </c>
      <c r="P98" s="3">
        <v>29</v>
      </c>
      <c r="Q98" s="9">
        <f>(Table13[Terpakai]+Table13[[#This Row],[Staging]])/Table13[Qty Lokasi]</f>
        <v>0.74112734864300622</v>
      </c>
      <c r="R98" s="9">
        <f>Table13[Max]-Table13[Occupancy]</f>
        <v>0.25887265135699378</v>
      </c>
      <c r="S98" s="2">
        <v>1</v>
      </c>
      <c r="U98" s="3" t="s">
        <v>11</v>
      </c>
      <c r="V98" s="1">
        <v>43727</v>
      </c>
      <c r="W98" s="3">
        <v>544</v>
      </c>
      <c r="X98" s="3">
        <v>271</v>
      </c>
      <c r="Y98" s="3">
        <v>273</v>
      </c>
      <c r="Z98" s="3">
        <v>123</v>
      </c>
      <c r="AA98" s="9">
        <f>(Table7[Terpakai]+Table7[[#This Row],[Staging]])/Table7[Qty Lokasi]</f>
        <v>0.72426470588235292</v>
      </c>
      <c r="AB98" s="9">
        <f>Table7[Max]-Table7[Occupancy]</f>
        <v>0.27573529411764708</v>
      </c>
      <c r="AC98" s="2">
        <v>1</v>
      </c>
      <c r="AE98" s="26">
        <f>SUM(Table1[[#This Row],[Qty Lokasi]]+Table13[[#This Row],[Qty Lokasi]]+Table7[[#This Row],[Qty Lokasi]])</f>
        <v>5118</v>
      </c>
      <c r="AF98" s="26">
        <f>SUM(Table1[[#This Row],[Available]]+Table13[[#This Row],[Available]]+Table7[[#This Row],[Available]])</f>
        <v>1335</v>
      </c>
      <c r="AG98" s="27">
        <f>1-Table3[Available]/Table3[Total]</f>
        <v>0.7391559202813599</v>
      </c>
    </row>
    <row r="99" spans="1:33">
      <c r="A99" s="18" t="s">
        <v>9</v>
      </c>
      <c r="B99" s="1">
        <v>43728</v>
      </c>
      <c r="C99" s="3">
        <v>3616</v>
      </c>
      <c r="D99" s="3">
        <v>2680</v>
      </c>
      <c r="E99" s="3">
        <v>819</v>
      </c>
      <c r="F99" s="3">
        <v>117</v>
      </c>
      <c r="G99" s="9">
        <f>(Table1[Terpakai]+Table1[[#This Row],[Staging]])/Table1[Qty Lokasi]</f>
        <v>0.77350663716814161</v>
      </c>
      <c r="H99" s="9">
        <f>Table1[Max]-Table1[Occupancy]</f>
        <v>0.22649336283185839</v>
      </c>
      <c r="I99" s="17">
        <v>1</v>
      </c>
      <c r="K99" s="1" t="s">
        <v>10</v>
      </c>
      <c r="L99" s="1">
        <v>43728</v>
      </c>
      <c r="M99" s="3">
        <v>958</v>
      </c>
      <c r="N99" s="3">
        <v>653</v>
      </c>
      <c r="O99" s="3">
        <v>293</v>
      </c>
      <c r="P99" s="3">
        <v>12</v>
      </c>
      <c r="Q99" s="9">
        <f>(Table13[Terpakai]+Table13[[#This Row],[Staging]])/Table13[Qty Lokasi]</f>
        <v>0.69415448851774531</v>
      </c>
      <c r="R99" s="9">
        <f>Table13[Max]-Table13[Occupancy]</f>
        <v>0.30584551148225469</v>
      </c>
      <c r="S99" s="2">
        <v>1</v>
      </c>
      <c r="U99" s="3" t="s">
        <v>11</v>
      </c>
      <c r="V99" s="1">
        <v>43728</v>
      </c>
      <c r="W99" s="3">
        <v>544</v>
      </c>
      <c r="X99" s="3">
        <v>236</v>
      </c>
      <c r="Y99" s="3">
        <v>308</v>
      </c>
      <c r="Z99" s="3">
        <v>68</v>
      </c>
      <c r="AA99" s="9">
        <f>(Table7[Terpakai]+Table7[[#This Row],[Staging]])/Table7[Qty Lokasi]</f>
        <v>0.55882352941176472</v>
      </c>
      <c r="AB99" s="9">
        <f>Table7[Max]-Table7[Occupancy]</f>
        <v>0.44117647058823528</v>
      </c>
      <c r="AC99" s="2">
        <v>1</v>
      </c>
      <c r="AE99" s="26">
        <f>SUM(Table1[[#This Row],[Qty Lokasi]]+Table13[[#This Row],[Qty Lokasi]]+Table7[[#This Row],[Qty Lokasi]])</f>
        <v>5118</v>
      </c>
      <c r="AF99" s="26">
        <f>SUM(Table1[[#This Row],[Available]]+Table13[[#This Row],[Available]]+Table7[[#This Row],[Available]])</f>
        <v>1420</v>
      </c>
      <c r="AG99" s="27">
        <f>1-Table3[Available]/Table3[Total]</f>
        <v>0.7225478702618211</v>
      </c>
    </row>
    <row r="100" spans="1:33">
      <c r="A100" s="18" t="s">
        <v>9</v>
      </c>
      <c r="B100" s="1">
        <v>43731</v>
      </c>
      <c r="C100" s="3">
        <v>3616</v>
      </c>
      <c r="D100" s="3">
        <v>3022</v>
      </c>
      <c r="E100" s="3">
        <v>594</v>
      </c>
      <c r="F100" s="3">
        <v>0</v>
      </c>
      <c r="G100" s="9">
        <f>(Table1[Terpakai]+Table1[[#This Row],[Staging]])/Table1[Qty Lokasi]</f>
        <v>0.83573008849557517</v>
      </c>
      <c r="H100" s="9">
        <f>Table1[Max]-Table1[Occupancy]</f>
        <v>0.16426991150442483</v>
      </c>
      <c r="I100" s="17">
        <v>1</v>
      </c>
      <c r="K100" s="1" t="s">
        <v>10</v>
      </c>
      <c r="L100" s="1">
        <v>43731</v>
      </c>
      <c r="M100" s="3">
        <v>958</v>
      </c>
      <c r="N100" s="3">
        <v>707</v>
      </c>
      <c r="O100" s="3">
        <v>233</v>
      </c>
      <c r="P100" s="3">
        <v>18</v>
      </c>
      <c r="Q100" s="9">
        <f>(Table13[Terpakai]+Table13[[#This Row],[Staging]])/Table13[Qty Lokasi]</f>
        <v>0.75678496868475986</v>
      </c>
      <c r="R100" s="9">
        <f>Table13[Max]-Table13[Occupancy]</f>
        <v>0.24321503131524014</v>
      </c>
      <c r="S100" s="2">
        <v>1</v>
      </c>
      <c r="U100" s="3" t="s">
        <v>11</v>
      </c>
      <c r="V100" s="1">
        <v>43731</v>
      </c>
      <c r="W100" s="3">
        <v>544</v>
      </c>
      <c r="X100" s="3">
        <v>141</v>
      </c>
      <c r="Y100" s="3">
        <v>403</v>
      </c>
      <c r="Z100" s="3">
        <v>34</v>
      </c>
      <c r="AA100" s="9">
        <f>(Table7[Terpakai]+Table7[[#This Row],[Staging]])/Table7[Qty Lokasi]</f>
        <v>0.32169117647058826</v>
      </c>
      <c r="AB100" s="9">
        <f>Table7[Max]-Table7[Occupancy]</f>
        <v>0.67830882352941169</v>
      </c>
      <c r="AC100" s="2">
        <v>1</v>
      </c>
      <c r="AE100" s="26">
        <f>SUM(Table1[[#This Row],[Qty Lokasi]]+Table13[[#This Row],[Qty Lokasi]]+Table7[[#This Row],[Qty Lokasi]])</f>
        <v>5118</v>
      </c>
      <c r="AF100" s="26">
        <f>SUM(Table1[[#This Row],[Available]]+Table13[[#This Row],[Available]]+Table7[[#This Row],[Available]])</f>
        <v>1230</v>
      </c>
      <c r="AG100" s="27">
        <f>1-Table3[Available]/Table3[Total]</f>
        <v>0.7596717467760844</v>
      </c>
    </row>
    <row r="101" spans="1:33">
      <c r="A101" s="18" t="s">
        <v>9</v>
      </c>
      <c r="B101" s="1">
        <v>43732</v>
      </c>
      <c r="C101" s="3">
        <v>3616</v>
      </c>
      <c r="D101" s="3">
        <v>2940</v>
      </c>
      <c r="E101" s="3">
        <v>552</v>
      </c>
      <c r="F101" s="3">
        <v>124</v>
      </c>
      <c r="G101" s="9">
        <f>(Table1[Terpakai]+Table1[[#This Row],[Staging]])/Table1[Qty Lokasi]</f>
        <v>0.84734513274336287</v>
      </c>
      <c r="H101" s="9">
        <f>Table1[Max]-Table1[Occupancy]</f>
        <v>0.15265486725663713</v>
      </c>
      <c r="I101" s="17">
        <v>1</v>
      </c>
      <c r="K101" s="1" t="s">
        <v>10</v>
      </c>
      <c r="L101" s="1">
        <v>43732</v>
      </c>
      <c r="M101" s="3">
        <v>958</v>
      </c>
      <c r="N101" s="3">
        <v>684</v>
      </c>
      <c r="O101" s="3">
        <v>241</v>
      </c>
      <c r="P101" s="3">
        <v>33</v>
      </c>
      <c r="Q101" s="9">
        <f>(Table13[Terpakai]+Table13[[#This Row],[Staging]])/Table13[Qty Lokasi]</f>
        <v>0.74843423799582465</v>
      </c>
      <c r="R101" s="9">
        <f>Table13[Max]-Table13[Occupancy]</f>
        <v>0.25156576200417535</v>
      </c>
      <c r="S101" s="2">
        <v>1</v>
      </c>
      <c r="U101" s="3" t="s">
        <v>11</v>
      </c>
      <c r="V101" s="1">
        <v>43732</v>
      </c>
      <c r="W101" s="3">
        <v>544</v>
      </c>
      <c r="X101" s="3">
        <v>133</v>
      </c>
      <c r="Y101" s="3">
        <v>411</v>
      </c>
      <c r="Z101" s="3">
        <v>38</v>
      </c>
      <c r="AA101" s="9">
        <f>(Table7[Terpakai]+Table7[[#This Row],[Staging]])/Table7[Qty Lokasi]</f>
        <v>0.31433823529411764</v>
      </c>
      <c r="AB101" s="9">
        <f>Table7[Max]-Table7[Occupancy]</f>
        <v>0.68566176470588236</v>
      </c>
      <c r="AC101" s="2">
        <v>1</v>
      </c>
      <c r="AE101" s="26">
        <f>SUM(Table1[[#This Row],[Qty Lokasi]]+Table13[[#This Row],[Qty Lokasi]]+Table7[[#This Row],[Qty Lokasi]])</f>
        <v>5118</v>
      </c>
      <c r="AF101" s="26">
        <f>SUM(Table1[[#This Row],[Available]]+Table13[[#This Row],[Available]]+Table7[[#This Row],[Available]])</f>
        <v>1204</v>
      </c>
      <c r="AG101" s="27">
        <f>1-Table3[Available]/Table3[Total]</f>
        <v>0.76475185619382569</v>
      </c>
    </row>
    <row r="102" spans="1:33">
      <c r="A102" s="18" t="s">
        <v>9</v>
      </c>
      <c r="B102" s="1">
        <v>43733</v>
      </c>
      <c r="C102" s="3">
        <v>3616</v>
      </c>
      <c r="D102" s="3">
        <v>2882</v>
      </c>
      <c r="E102" s="3">
        <v>543</v>
      </c>
      <c r="F102" s="3">
        <v>191</v>
      </c>
      <c r="G102" s="9">
        <f>(Table1[Terpakai]+Table1[[#This Row],[Staging]])/Table1[Qty Lokasi]</f>
        <v>0.84983407079646023</v>
      </c>
      <c r="H102" s="9">
        <f>Table1[Max]-Table1[Occupancy]</f>
        <v>0.15016592920353977</v>
      </c>
      <c r="I102" s="17">
        <v>1</v>
      </c>
      <c r="K102" s="1" t="s">
        <v>10</v>
      </c>
      <c r="L102" s="1">
        <v>43733</v>
      </c>
      <c r="M102" s="3">
        <v>958</v>
      </c>
      <c r="N102" s="3">
        <v>652</v>
      </c>
      <c r="O102" s="3">
        <v>234</v>
      </c>
      <c r="P102" s="3">
        <v>72</v>
      </c>
      <c r="Q102" s="9">
        <f>(Table13[Terpakai]+Table13[[#This Row],[Staging]])/Table13[Qty Lokasi]</f>
        <v>0.75574112734864296</v>
      </c>
      <c r="R102" s="9">
        <f>Table13[Max]-Table13[Occupancy]</f>
        <v>0.24425887265135704</v>
      </c>
      <c r="S102" s="2">
        <v>1</v>
      </c>
      <c r="U102" s="3" t="s">
        <v>11</v>
      </c>
      <c r="V102" s="1">
        <v>43733</v>
      </c>
      <c r="W102" s="3">
        <v>544</v>
      </c>
      <c r="X102" s="3">
        <v>186</v>
      </c>
      <c r="Y102" s="3">
        <v>358</v>
      </c>
      <c r="Z102" s="3">
        <v>82</v>
      </c>
      <c r="AA102" s="9">
        <f>(Table7[Terpakai]+Table7[[#This Row],[Staging]])/Table7[Qty Lokasi]</f>
        <v>0.49264705882352944</v>
      </c>
      <c r="AB102" s="9">
        <f>Table7[Max]-Table7[Occupancy]</f>
        <v>0.50735294117647056</v>
      </c>
      <c r="AC102" s="2">
        <v>1</v>
      </c>
      <c r="AE102" s="26">
        <f>SUM(Table1[[#This Row],[Qty Lokasi]]+Table13[[#This Row],[Qty Lokasi]]+Table7[[#This Row],[Qty Lokasi]])</f>
        <v>5118</v>
      </c>
      <c r="AF102" s="26">
        <f>SUM(Table1[[#This Row],[Available]]+Table13[[#This Row],[Available]]+Table7[[#This Row],[Available]])</f>
        <v>1135</v>
      </c>
      <c r="AG102" s="27">
        <f>1-Table3[Available]/Table3[Total]</f>
        <v>0.7782336850332161</v>
      </c>
    </row>
    <row r="103" spans="1:33">
      <c r="A103" s="18" t="s">
        <v>9</v>
      </c>
      <c r="B103" s="1">
        <v>43734</v>
      </c>
      <c r="C103" s="3">
        <v>3616</v>
      </c>
      <c r="D103" s="3">
        <v>2939</v>
      </c>
      <c r="E103" s="3">
        <v>504</v>
      </c>
      <c r="F103" s="3">
        <v>173</v>
      </c>
      <c r="G103" s="9">
        <f>(Table1[Terpakai]+Table1[[#This Row],[Staging]])/Table1[Qty Lokasi]</f>
        <v>0.86061946902654862</v>
      </c>
      <c r="H103" s="9">
        <f>Table1[Max]-Table1[Occupancy]</f>
        <v>0.13938053097345138</v>
      </c>
      <c r="I103" s="17">
        <v>1</v>
      </c>
      <c r="K103" s="1" t="s">
        <v>10</v>
      </c>
      <c r="L103" s="1">
        <v>43734</v>
      </c>
      <c r="M103" s="3">
        <v>958</v>
      </c>
      <c r="N103" s="3">
        <v>693</v>
      </c>
      <c r="O103" s="3">
        <v>208</v>
      </c>
      <c r="P103" s="3">
        <v>57</v>
      </c>
      <c r="Q103" s="9">
        <f>(Table13[Terpakai]+Table13[[#This Row],[Staging]])/Table13[Qty Lokasi]</f>
        <v>0.78288100208768263</v>
      </c>
      <c r="R103" s="9">
        <f>Table13[Max]-Table13[Occupancy]</f>
        <v>0.21711899791231737</v>
      </c>
      <c r="S103" s="2">
        <v>1</v>
      </c>
      <c r="U103" s="3" t="s">
        <v>11</v>
      </c>
      <c r="V103" s="1">
        <v>43734</v>
      </c>
      <c r="W103" s="3">
        <v>544</v>
      </c>
      <c r="X103" s="3">
        <v>210</v>
      </c>
      <c r="Y103" s="3">
        <v>334</v>
      </c>
      <c r="Z103" s="3">
        <v>117</v>
      </c>
      <c r="AA103" s="9">
        <f>(Table7[Terpakai]+Table7[[#This Row],[Staging]])/Table7[Qty Lokasi]</f>
        <v>0.60110294117647056</v>
      </c>
      <c r="AB103" s="9">
        <f>Table7[Max]-Table7[Occupancy]</f>
        <v>0.39889705882352944</v>
      </c>
      <c r="AC103" s="2">
        <v>1</v>
      </c>
      <c r="AE103" s="26">
        <f>SUM(Table1[[#This Row],[Qty Lokasi]]+Table13[[#This Row],[Qty Lokasi]]+Table7[[#This Row],[Qty Lokasi]])</f>
        <v>5118</v>
      </c>
      <c r="AF103" s="26">
        <f>SUM(Table1[[#This Row],[Available]]+Table13[[#This Row],[Available]]+Table7[[#This Row],[Available]])</f>
        <v>1046</v>
      </c>
      <c r="AG103" s="27">
        <f>1-Table3[Available]/Table3[Total]</f>
        <v>0.79562329034779211</v>
      </c>
    </row>
    <row r="104" spans="1:33">
      <c r="A104" s="18" t="s">
        <v>9</v>
      </c>
      <c r="B104" s="1">
        <v>43735</v>
      </c>
      <c r="C104" s="3">
        <v>3616</v>
      </c>
      <c r="D104" s="3">
        <v>2996</v>
      </c>
      <c r="E104" s="3">
        <v>535</v>
      </c>
      <c r="F104" s="3">
        <v>85</v>
      </c>
      <c r="G104" s="9">
        <f>(Table1[Terpakai]+Table1[[#This Row],[Staging]])/Table1[Qty Lokasi]</f>
        <v>0.85204646017699115</v>
      </c>
      <c r="H104" s="9">
        <f>Table1[Max]-Table1[Occupancy]</f>
        <v>0.14795353982300885</v>
      </c>
      <c r="I104" s="17">
        <v>1</v>
      </c>
      <c r="K104" s="1" t="s">
        <v>10</v>
      </c>
      <c r="L104" s="1">
        <v>43735</v>
      </c>
      <c r="M104" s="3">
        <v>958</v>
      </c>
      <c r="N104" s="3">
        <v>675</v>
      </c>
      <c r="O104" s="3">
        <v>267</v>
      </c>
      <c r="P104" s="3">
        <v>16</v>
      </c>
      <c r="Q104" s="9">
        <f>(Table13[Terpakai]+Table13[[#This Row],[Staging]])/Table13[Qty Lokasi]</f>
        <v>0.72129436325678498</v>
      </c>
      <c r="R104" s="9">
        <f>Table13[Max]-Table13[Occupancy]</f>
        <v>0.27870563674321502</v>
      </c>
      <c r="S104" s="2">
        <v>1</v>
      </c>
      <c r="U104" s="3" t="s">
        <v>11</v>
      </c>
      <c r="V104" s="1">
        <v>43735</v>
      </c>
      <c r="W104" s="3">
        <v>544</v>
      </c>
      <c r="X104" s="3">
        <v>147</v>
      </c>
      <c r="Y104" s="3">
        <v>397</v>
      </c>
      <c r="Z104" s="3">
        <v>14</v>
      </c>
      <c r="AA104" s="9">
        <f>(Table7[Terpakai]+Table7[[#This Row],[Staging]])/Table7[Qty Lokasi]</f>
        <v>0.29595588235294118</v>
      </c>
      <c r="AB104" s="9">
        <f>Table7[Max]-Table7[Occupancy]</f>
        <v>0.70404411764705888</v>
      </c>
      <c r="AC104" s="2">
        <v>1</v>
      </c>
      <c r="AE104" s="26">
        <f>SUM(Table1[[#This Row],[Qty Lokasi]]+Table13[[#This Row],[Qty Lokasi]]+Table7[[#This Row],[Qty Lokasi]])</f>
        <v>5118</v>
      </c>
      <c r="AF104" s="26">
        <f>SUM(Table1[[#This Row],[Available]]+Table13[[#This Row],[Available]]+Table7[[#This Row],[Available]])</f>
        <v>1199</v>
      </c>
      <c r="AG104" s="27">
        <f>1-Table3[Available]/Table3[Total]</f>
        <v>0.76572880031262214</v>
      </c>
    </row>
    <row r="105" spans="1:33">
      <c r="A105" s="18" t="s">
        <v>9</v>
      </c>
      <c r="B105" s="1">
        <v>43738</v>
      </c>
      <c r="C105" s="3">
        <v>3616</v>
      </c>
      <c r="D105" s="3">
        <v>2912</v>
      </c>
      <c r="E105" s="3">
        <v>704</v>
      </c>
      <c r="F105" s="3">
        <v>0</v>
      </c>
      <c r="G105" s="9">
        <f>(Table1[Terpakai]+Table1[[#This Row],[Staging]])/Table1[Qty Lokasi]</f>
        <v>0.80530973451327437</v>
      </c>
      <c r="H105" s="9">
        <f>Table1[Max]-Table1[Occupancy]</f>
        <v>0.19469026548672563</v>
      </c>
      <c r="I105" s="17">
        <v>1</v>
      </c>
      <c r="K105" s="1" t="s">
        <v>10</v>
      </c>
      <c r="L105" s="1">
        <v>43738</v>
      </c>
      <c r="M105" s="3">
        <v>958</v>
      </c>
      <c r="N105" s="3">
        <v>670</v>
      </c>
      <c r="O105" s="3">
        <v>288</v>
      </c>
      <c r="P105" s="3">
        <v>0</v>
      </c>
      <c r="Q105" s="9">
        <f>(Table13[Terpakai]+Table13[[#This Row],[Staging]])/Table13[Qty Lokasi]</f>
        <v>0.69937369519832981</v>
      </c>
      <c r="R105" s="9">
        <f>Table13[Max]-Table13[Occupancy]</f>
        <v>0.30062630480167019</v>
      </c>
      <c r="S105" s="2">
        <v>1</v>
      </c>
      <c r="U105" s="3" t="s">
        <v>11</v>
      </c>
      <c r="V105" s="1">
        <v>43738</v>
      </c>
      <c r="W105" s="3">
        <v>544</v>
      </c>
      <c r="X105" s="3">
        <v>116</v>
      </c>
      <c r="Y105" s="3">
        <v>428</v>
      </c>
      <c r="Z105" s="3">
        <v>22</v>
      </c>
      <c r="AA105" s="9">
        <f>(Table7[Terpakai]+Table7[[#This Row],[Staging]])/Table7[Qty Lokasi]</f>
        <v>0.25367647058823528</v>
      </c>
      <c r="AB105" s="9">
        <f>Table7[Max]-Table7[Occupancy]</f>
        <v>0.74632352941176472</v>
      </c>
      <c r="AC105" s="2">
        <v>1</v>
      </c>
      <c r="AE105" s="26">
        <f>SUM(Table1[[#This Row],[Qty Lokasi]]+Table13[[#This Row],[Qty Lokasi]]+Table7[[#This Row],[Qty Lokasi]])</f>
        <v>5118</v>
      </c>
      <c r="AF105" s="26">
        <f>SUM(Table1[[#This Row],[Available]]+Table13[[#This Row],[Available]]+Table7[[#This Row],[Available]])</f>
        <v>1420</v>
      </c>
      <c r="AG105" s="27">
        <f>1-Table3[Available]/Table3[Total]</f>
        <v>0.7225478702618211</v>
      </c>
    </row>
    <row r="106" spans="1:33">
      <c r="A106" s="18" t="s">
        <v>9</v>
      </c>
      <c r="B106" s="1">
        <v>43739</v>
      </c>
      <c r="C106" s="3">
        <v>3616</v>
      </c>
      <c r="D106" s="3">
        <v>2953</v>
      </c>
      <c r="E106" s="3">
        <v>463</v>
      </c>
      <c r="F106" s="3">
        <v>200</v>
      </c>
      <c r="G106" s="9">
        <f>(Table1[Terpakai]+Table1[[#This Row],[Staging]])/Table1[Qty Lokasi]</f>
        <v>0.87195796460176989</v>
      </c>
      <c r="H106" s="9">
        <f>Table1[Max]-Table1[Occupancy]</f>
        <v>0.12804203539823011</v>
      </c>
      <c r="I106" s="17">
        <v>1</v>
      </c>
      <c r="K106" s="1" t="s">
        <v>10</v>
      </c>
      <c r="L106" s="1">
        <v>43739</v>
      </c>
      <c r="M106" s="3">
        <v>958</v>
      </c>
      <c r="N106" s="3">
        <v>697</v>
      </c>
      <c r="O106" s="3">
        <v>123</v>
      </c>
      <c r="P106" s="3">
        <v>138</v>
      </c>
      <c r="Q106" s="9">
        <f>(Table13[Terpakai]+Table13[[#This Row],[Staging]])/Table13[Qty Lokasi]</f>
        <v>0.87160751565762007</v>
      </c>
      <c r="R106" s="9">
        <f>Table13[Max]-Table13[Occupancy]</f>
        <v>0.12839248434237993</v>
      </c>
      <c r="S106" s="2">
        <v>1</v>
      </c>
      <c r="U106" s="3" t="s">
        <v>11</v>
      </c>
      <c r="V106" s="1">
        <v>43739</v>
      </c>
      <c r="W106" s="3">
        <v>544</v>
      </c>
      <c r="X106" s="3">
        <v>188</v>
      </c>
      <c r="Y106" s="3">
        <v>356</v>
      </c>
      <c r="Z106" s="3">
        <v>84</v>
      </c>
      <c r="AA106" s="9">
        <f>(Table7[Terpakai]+Table7[[#This Row],[Staging]])/Table7[Qty Lokasi]</f>
        <v>0.5</v>
      </c>
      <c r="AB106" s="9">
        <f>Table7[Max]-Table7[Occupancy]</f>
        <v>0.5</v>
      </c>
      <c r="AC106" s="2">
        <v>1</v>
      </c>
      <c r="AE106" s="26">
        <f>SUM(Table1[[#This Row],[Qty Lokasi]]+Table13[[#This Row],[Qty Lokasi]]+Table7[[#This Row],[Qty Lokasi]])</f>
        <v>5118</v>
      </c>
      <c r="AF106" s="26">
        <f>SUM(Table1[[#This Row],[Available]]+Table13[[#This Row],[Available]]+Table7[[#This Row],[Available]])</f>
        <v>942</v>
      </c>
      <c r="AG106" s="27">
        <f>1-Table3[Available]/Table3[Total]</f>
        <v>0.81594372801875736</v>
      </c>
    </row>
    <row r="107" spans="1:33">
      <c r="A107" s="18" t="s">
        <v>9</v>
      </c>
      <c r="B107" s="1">
        <v>43740</v>
      </c>
      <c r="C107" s="3">
        <v>3616</v>
      </c>
      <c r="D107" s="3">
        <v>2937</v>
      </c>
      <c r="E107" s="3">
        <v>485</v>
      </c>
      <c r="F107" s="3">
        <v>194</v>
      </c>
      <c r="G107" s="9">
        <f>(Table1[Terpakai]+Table1[[#This Row],[Staging]])/Table1[Qty Lokasi]</f>
        <v>0.86587389380530977</v>
      </c>
      <c r="H107" s="9">
        <f>Table1[Max]-Table1[Occupancy]</f>
        <v>0.13412610619469023</v>
      </c>
      <c r="I107" s="17">
        <v>1</v>
      </c>
      <c r="K107" s="1" t="s">
        <v>10</v>
      </c>
      <c r="L107" s="1">
        <v>43740</v>
      </c>
      <c r="M107" s="3">
        <v>958</v>
      </c>
      <c r="N107" s="3">
        <v>736</v>
      </c>
      <c r="O107" s="3">
        <v>191</v>
      </c>
      <c r="P107" s="3">
        <v>31</v>
      </c>
      <c r="Q107" s="9">
        <f>(Table13[Terpakai]+Table13[[#This Row],[Staging]])/Table13[Qty Lokasi]</f>
        <v>0.80062630480167019</v>
      </c>
      <c r="R107" s="9">
        <f>Table13[Max]-Table13[Occupancy]</f>
        <v>0.19937369519832981</v>
      </c>
      <c r="S107" s="2">
        <v>1</v>
      </c>
      <c r="U107" s="3" t="s">
        <v>11</v>
      </c>
      <c r="V107" s="1">
        <v>43740</v>
      </c>
      <c r="W107" s="3">
        <v>544</v>
      </c>
      <c r="X107" s="3">
        <v>152</v>
      </c>
      <c r="Y107" s="3">
        <v>277</v>
      </c>
      <c r="Z107" s="3">
        <v>115</v>
      </c>
      <c r="AA107" s="9">
        <f>(Table7[Terpakai]+Table7[[#This Row],[Staging]])/Table7[Qty Lokasi]</f>
        <v>0.49080882352941174</v>
      </c>
      <c r="AB107" s="9">
        <f>Table7[Max]-Table7[Occupancy]</f>
        <v>0.50919117647058831</v>
      </c>
      <c r="AC107" s="2">
        <v>1</v>
      </c>
      <c r="AE107" s="26">
        <f>SUM(Table1[[#This Row],[Qty Lokasi]]+Table13[[#This Row],[Qty Lokasi]]+Table7[[#This Row],[Qty Lokasi]])</f>
        <v>5118</v>
      </c>
      <c r="AF107" s="26">
        <f>SUM(Table1[[#This Row],[Available]]+Table13[[#This Row],[Available]]+Table7[[#This Row],[Available]])</f>
        <v>953</v>
      </c>
      <c r="AG107" s="27">
        <f>1-Table3[Available]/Table3[Total]</f>
        <v>0.81379445095740521</v>
      </c>
    </row>
    <row r="108" spans="1:33">
      <c r="A108" s="18" t="s">
        <v>9</v>
      </c>
      <c r="B108" s="1">
        <v>43741</v>
      </c>
      <c r="C108" s="3">
        <v>3616</v>
      </c>
      <c r="D108" s="3">
        <v>2893</v>
      </c>
      <c r="E108" s="3">
        <v>544</v>
      </c>
      <c r="F108" s="3">
        <v>179</v>
      </c>
      <c r="G108" s="9">
        <f>(Table1[Terpakai]+Table1[[#This Row],[Staging]])/Table1[Qty Lokasi]</f>
        <v>0.84955752212389379</v>
      </c>
      <c r="H108" s="9">
        <f>Table1[Max]-Table1[Occupancy]</f>
        <v>0.15044247787610621</v>
      </c>
      <c r="I108" s="17">
        <v>1</v>
      </c>
      <c r="K108" s="1" t="s">
        <v>10</v>
      </c>
      <c r="L108" s="1">
        <v>43741</v>
      </c>
      <c r="M108" s="3">
        <v>958</v>
      </c>
      <c r="N108" s="3">
        <v>715</v>
      </c>
      <c r="O108" s="3">
        <v>223</v>
      </c>
      <c r="P108" s="3">
        <v>20</v>
      </c>
      <c r="Q108" s="9">
        <f>(Table13[Terpakai]+Table13[[#This Row],[Staging]])/Table13[Qty Lokasi]</f>
        <v>0.76722338204592899</v>
      </c>
      <c r="R108" s="9">
        <f>Table13[Max]-Table13[Occupancy]</f>
        <v>0.23277661795407101</v>
      </c>
      <c r="S108" s="2">
        <v>1</v>
      </c>
      <c r="U108" s="3" t="s">
        <v>11</v>
      </c>
      <c r="V108" s="1">
        <v>43741</v>
      </c>
      <c r="W108" s="3">
        <v>544</v>
      </c>
      <c r="X108" s="3">
        <v>149</v>
      </c>
      <c r="Y108" s="3">
        <v>372</v>
      </c>
      <c r="Z108" s="3">
        <v>23</v>
      </c>
      <c r="AA108" s="9">
        <f>(Table7[Terpakai]+Table7[[#This Row],[Staging]])/Table7[Qty Lokasi]</f>
        <v>0.31617647058823528</v>
      </c>
      <c r="AB108" s="9">
        <f>Table7[Max]-Table7[Occupancy]</f>
        <v>0.68382352941176472</v>
      </c>
      <c r="AC108" s="2">
        <v>1</v>
      </c>
      <c r="AE108" s="26">
        <f>SUM(Table1[[#This Row],[Qty Lokasi]]+Table13[[#This Row],[Qty Lokasi]]+Table7[[#This Row],[Qty Lokasi]])</f>
        <v>5118</v>
      </c>
      <c r="AF108" s="26">
        <f>SUM(Table1[[#This Row],[Available]]+Table13[[#This Row],[Available]]+Table7[[#This Row],[Available]])</f>
        <v>1139</v>
      </c>
      <c r="AG108" s="27">
        <f>1-Table3[Available]/Table3[Total]</f>
        <v>0.77745212973817901</v>
      </c>
    </row>
    <row r="109" spans="1:33">
      <c r="A109" s="18" t="s">
        <v>9</v>
      </c>
      <c r="B109" s="1">
        <v>43742</v>
      </c>
      <c r="C109" s="3">
        <v>3616</v>
      </c>
      <c r="D109" s="3">
        <v>2981</v>
      </c>
      <c r="E109" s="3">
        <v>477</v>
      </c>
      <c r="F109" s="3">
        <v>158</v>
      </c>
      <c r="G109" s="9">
        <f>(Table1[Terpakai]+Table1[[#This Row],[Staging]])/Table1[Qty Lokasi]</f>
        <v>0.86808628318584069</v>
      </c>
      <c r="H109" s="9">
        <f>Table1[Max]-Table1[Occupancy]</f>
        <v>0.13191371681415931</v>
      </c>
      <c r="I109" s="17">
        <v>1</v>
      </c>
      <c r="K109" s="1" t="s">
        <v>10</v>
      </c>
      <c r="L109" s="1">
        <v>43742</v>
      </c>
      <c r="M109" s="3">
        <v>958</v>
      </c>
      <c r="N109" s="3">
        <v>718</v>
      </c>
      <c r="O109" s="3">
        <v>227</v>
      </c>
      <c r="P109" s="3">
        <v>13</v>
      </c>
      <c r="Q109" s="9">
        <f>(Table13[Terpakai]+Table13[[#This Row],[Staging]])/Table13[Qty Lokasi]</f>
        <v>0.76304801670146138</v>
      </c>
      <c r="R109" s="9">
        <f>Table13[Max]-Table13[Occupancy]</f>
        <v>0.23695198329853862</v>
      </c>
      <c r="S109" s="2">
        <v>1</v>
      </c>
      <c r="U109" s="3" t="s">
        <v>11</v>
      </c>
      <c r="V109" s="1">
        <v>43742</v>
      </c>
      <c r="W109" s="3">
        <v>544</v>
      </c>
      <c r="X109" s="3">
        <v>118</v>
      </c>
      <c r="Y109" s="3">
        <v>353</v>
      </c>
      <c r="Z109" s="3">
        <v>73</v>
      </c>
      <c r="AA109" s="9">
        <f>(Table7[Terpakai]+Table7[[#This Row],[Staging]])/Table7[Qty Lokasi]</f>
        <v>0.35110294117647056</v>
      </c>
      <c r="AB109" s="9">
        <f>Table7[Max]-Table7[Occupancy]</f>
        <v>0.64889705882352944</v>
      </c>
      <c r="AC109" s="2">
        <v>1</v>
      </c>
      <c r="AE109" s="26">
        <f>SUM(Table1[[#This Row],[Qty Lokasi]]+Table13[[#This Row],[Qty Lokasi]]+Table7[[#This Row],[Qty Lokasi]])</f>
        <v>5118</v>
      </c>
      <c r="AF109" s="26">
        <f>SUM(Table1[[#This Row],[Available]]+Table13[[#This Row],[Available]]+Table7[[#This Row],[Available]])</f>
        <v>1057</v>
      </c>
      <c r="AG109" s="27">
        <f>1-Table3[Available]/Table3[Total]</f>
        <v>0.79347401328643996</v>
      </c>
    </row>
    <row r="110" spans="1:33">
      <c r="A110" s="18" t="s">
        <v>9</v>
      </c>
      <c r="B110" s="1">
        <v>43748</v>
      </c>
      <c r="C110" s="3">
        <v>3616</v>
      </c>
      <c r="D110" s="3">
        <v>3038</v>
      </c>
      <c r="E110" s="3">
        <v>391</v>
      </c>
      <c r="F110" s="3">
        <v>187</v>
      </c>
      <c r="G110" s="9">
        <f>(Table1[Terpakai]+Table1[[#This Row],[Staging]])/Table1[Qty Lokasi]</f>
        <v>0.89186946902654862</v>
      </c>
      <c r="H110" s="9">
        <f>Table1[Max]-Table1[Occupancy]</f>
        <v>0.10813053097345138</v>
      </c>
      <c r="I110" s="17">
        <v>1</v>
      </c>
      <c r="K110" s="1" t="s">
        <v>10</v>
      </c>
      <c r="L110" s="1">
        <v>43748</v>
      </c>
      <c r="M110" s="3">
        <v>1052</v>
      </c>
      <c r="N110" s="3">
        <v>584</v>
      </c>
      <c r="O110" s="3">
        <v>388</v>
      </c>
      <c r="P110" s="3">
        <v>80</v>
      </c>
      <c r="Q110" s="9">
        <f>(Table13[Terpakai]+Table13[[#This Row],[Staging]])/Table13[Qty Lokasi]</f>
        <v>0.63117870722433456</v>
      </c>
      <c r="R110" s="9">
        <f>Table13[Max]-Table13[Occupancy]</f>
        <v>0.36882129277566544</v>
      </c>
      <c r="S110" s="2">
        <v>1</v>
      </c>
      <c r="U110" s="3" t="s">
        <v>11</v>
      </c>
      <c r="V110" s="1">
        <v>43748</v>
      </c>
      <c r="W110" s="3">
        <v>544</v>
      </c>
      <c r="X110" s="3">
        <v>111</v>
      </c>
      <c r="Y110" s="3">
        <v>345</v>
      </c>
      <c r="Z110" s="3">
        <v>88</v>
      </c>
      <c r="AA110" s="9">
        <f>(Table7[Terpakai]+Table7[[#This Row],[Staging]])/Table7[Qty Lokasi]</f>
        <v>0.36580882352941174</v>
      </c>
      <c r="AB110" s="9">
        <f>Table7[Max]-Table7[Occupancy]</f>
        <v>0.63419117647058831</v>
      </c>
      <c r="AC110" s="2">
        <v>1</v>
      </c>
      <c r="AE110" s="26">
        <f>SUM(Table1[[#This Row],[Qty Lokasi]]+Table13[[#This Row],[Qty Lokasi]]+Table7[[#This Row],[Qty Lokasi]])</f>
        <v>5212</v>
      </c>
      <c r="AF110" s="26">
        <f>SUM(Table1[[#This Row],[Available]]+Table13[[#This Row],[Available]]+Table7[[#This Row],[Available]])</f>
        <v>1124</v>
      </c>
      <c r="AG110" s="27">
        <f>1-Table3[Available]/Table3[Total]</f>
        <v>0.78434382194934771</v>
      </c>
    </row>
    <row r="111" spans="1:33">
      <c r="A111" s="18" t="s">
        <v>9</v>
      </c>
      <c r="B111" s="1">
        <v>43749</v>
      </c>
      <c r="C111" s="3">
        <v>3616</v>
      </c>
      <c r="D111" s="3">
        <v>3120</v>
      </c>
      <c r="E111" s="3">
        <v>495</v>
      </c>
      <c r="F111" s="3">
        <v>1</v>
      </c>
      <c r="G111" s="9">
        <f>(Table1[Terpakai]+Table1[[#This Row],[Staging]])/Table1[Qty Lokasi]</f>
        <v>0.86310840707964598</v>
      </c>
      <c r="H111" s="9">
        <f>Table1[Max]-Table1[Occupancy]</f>
        <v>0.13689159292035402</v>
      </c>
      <c r="I111" s="17">
        <v>1</v>
      </c>
      <c r="K111" s="1" t="s">
        <v>10</v>
      </c>
      <c r="L111" s="1">
        <v>43749</v>
      </c>
      <c r="M111" s="3">
        <v>1052</v>
      </c>
      <c r="N111" s="3">
        <v>624</v>
      </c>
      <c r="O111" s="3">
        <v>400</v>
      </c>
      <c r="P111" s="3">
        <v>28</v>
      </c>
      <c r="Q111" s="9">
        <f>(Table13[Terpakai]+Table13[[#This Row],[Staging]])/Table13[Qty Lokasi]</f>
        <v>0.61977186311787069</v>
      </c>
      <c r="R111" s="9">
        <f>Table13[Max]-Table13[Occupancy]</f>
        <v>0.38022813688212931</v>
      </c>
      <c r="S111" s="2">
        <v>1</v>
      </c>
      <c r="U111" s="3" t="s">
        <v>11</v>
      </c>
      <c r="V111" s="1">
        <v>43749</v>
      </c>
      <c r="W111" s="3">
        <v>544</v>
      </c>
      <c r="X111" s="3">
        <v>105</v>
      </c>
      <c r="Y111" s="3">
        <v>388</v>
      </c>
      <c r="Z111" s="3">
        <v>51</v>
      </c>
      <c r="AA111" s="9">
        <f>(Table7[Terpakai]+Table7[[#This Row],[Staging]])/Table7[Qty Lokasi]</f>
        <v>0.28676470588235292</v>
      </c>
      <c r="AB111" s="9">
        <f>Table7[Max]-Table7[Occupancy]</f>
        <v>0.71323529411764708</v>
      </c>
      <c r="AC111" s="2">
        <v>1</v>
      </c>
      <c r="AE111" s="26">
        <f>SUM(Table1[[#This Row],[Qty Lokasi]]+Table13[[#This Row],[Qty Lokasi]]+Table7[[#This Row],[Qty Lokasi]])</f>
        <v>5212</v>
      </c>
      <c r="AF111" s="26">
        <f>SUM(Table1[[#This Row],[Available]]+Table13[[#This Row],[Available]]+Table7[[#This Row],[Available]])</f>
        <v>1283</v>
      </c>
      <c r="AG111" s="27">
        <f>1-Table3[Available]/Table3[Total]</f>
        <v>0.75383729854182657</v>
      </c>
    </row>
    <row r="112" spans="1:33">
      <c r="A112" s="18" t="s">
        <v>9</v>
      </c>
      <c r="B112" s="1">
        <v>43752</v>
      </c>
      <c r="C112" s="3">
        <v>3616</v>
      </c>
      <c r="D112" s="3">
        <v>3029</v>
      </c>
      <c r="E112" s="3">
        <v>587</v>
      </c>
      <c r="F112" s="3">
        <v>0</v>
      </c>
      <c r="G112" s="9">
        <f>(Table1[Terpakai]+Table1[[#This Row],[Staging]])/Table1[Qty Lokasi]</f>
        <v>0.83766592920353977</v>
      </c>
      <c r="H112" s="9">
        <f>Table1[Max]-Table1[Occupancy]</f>
        <v>0.16233407079646023</v>
      </c>
      <c r="I112" s="17">
        <v>1</v>
      </c>
      <c r="K112" s="1" t="s">
        <v>10</v>
      </c>
      <c r="L112" s="1">
        <v>43752</v>
      </c>
      <c r="M112" s="3">
        <v>1052</v>
      </c>
      <c r="N112" s="3">
        <v>619</v>
      </c>
      <c r="O112" s="3">
        <v>419</v>
      </c>
      <c r="P112" s="3">
        <v>14</v>
      </c>
      <c r="Q112" s="9">
        <f>(Table13[Terpakai]+Table13[[#This Row],[Staging]])/Table13[Qty Lokasi]</f>
        <v>0.60171102661596954</v>
      </c>
      <c r="R112" s="9">
        <f>Table13[Max]-Table13[Occupancy]</f>
        <v>0.39828897338403046</v>
      </c>
      <c r="S112" s="2">
        <v>1</v>
      </c>
      <c r="U112" s="3" t="s">
        <v>11</v>
      </c>
      <c r="V112" s="1">
        <v>43752</v>
      </c>
      <c r="W112" s="3">
        <v>544</v>
      </c>
      <c r="X112" s="3">
        <v>142</v>
      </c>
      <c r="Y112" s="3">
        <v>373</v>
      </c>
      <c r="Z112" s="3">
        <v>29</v>
      </c>
      <c r="AA112" s="9">
        <f>(Table7[Terpakai]+Table7[[#This Row],[Staging]])/Table7[Qty Lokasi]</f>
        <v>0.31433823529411764</v>
      </c>
      <c r="AB112" s="9">
        <f>Table7[Max]-Table7[Occupancy]</f>
        <v>0.68566176470588236</v>
      </c>
      <c r="AC112" s="2">
        <v>1</v>
      </c>
      <c r="AE112" s="26">
        <f>SUM(Table1[[#This Row],[Qty Lokasi]]+Table13[[#This Row],[Qty Lokasi]]+Table7[[#This Row],[Qty Lokasi]])</f>
        <v>5212</v>
      </c>
      <c r="AF112" s="26">
        <f>SUM(Table1[[#This Row],[Available]]+Table13[[#This Row],[Available]]+Table7[[#This Row],[Available]])</f>
        <v>1379</v>
      </c>
      <c r="AG112" s="27">
        <f>1-Table3[Available]/Table3[Total]</f>
        <v>0.73541826554105905</v>
      </c>
    </row>
    <row r="113" spans="1:33">
      <c r="A113" s="18" t="s">
        <v>9</v>
      </c>
      <c r="B113" s="1">
        <v>43753</v>
      </c>
      <c r="C113" s="3">
        <v>3616</v>
      </c>
      <c r="D113" s="3">
        <v>2976</v>
      </c>
      <c r="E113" s="3">
        <v>541</v>
      </c>
      <c r="F113" s="3">
        <v>99</v>
      </c>
      <c r="G113" s="9">
        <f>(Table1[Terpakai]+Table1[[#This Row],[Staging]])/Table1[Qty Lokasi]</f>
        <v>0.85038716814159288</v>
      </c>
      <c r="H113" s="9">
        <f>Table1[Max]-Table1[Occupancy]</f>
        <v>0.14961283185840712</v>
      </c>
      <c r="I113" s="17">
        <v>1</v>
      </c>
      <c r="K113" s="1" t="s">
        <v>10</v>
      </c>
      <c r="L113" s="1">
        <v>43753</v>
      </c>
      <c r="M113" s="3">
        <v>1052</v>
      </c>
      <c r="N113" s="3">
        <v>617</v>
      </c>
      <c r="O113" s="3">
        <v>376</v>
      </c>
      <c r="P113" s="3">
        <v>59</v>
      </c>
      <c r="Q113" s="9">
        <f>(Table13[Terpakai]+Table13[[#This Row],[Staging]])/Table13[Qty Lokasi]</f>
        <v>0.64258555133079853</v>
      </c>
      <c r="R113" s="9">
        <f>Table13[Max]-Table13[Occupancy]</f>
        <v>0.35741444866920147</v>
      </c>
      <c r="S113" s="2">
        <v>1</v>
      </c>
      <c r="U113" s="3" t="s">
        <v>11</v>
      </c>
      <c r="V113" s="1">
        <v>43753</v>
      </c>
      <c r="W113" s="3">
        <v>544</v>
      </c>
      <c r="X113" s="3">
        <v>154</v>
      </c>
      <c r="Y113" s="3">
        <v>350</v>
      </c>
      <c r="Z113" s="3">
        <v>40</v>
      </c>
      <c r="AA113" s="9">
        <f>(Table7[Terpakai]+Table7[[#This Row],[Staging]])/Table7[Qty Lokasi]</f>
        <v>0.35661764705882354</v>
      </c>
      <c r="AB113" s="9">
        <f>Table7[Max]-Table7[Occupancy]</f>
        <v>0.64338235294117641</v>
      </c>
      <c r="AC113" s="2">
        <v>1</v>
      </c>
      <c r="AE113" s="26">
        <f>SUM(Table1[[#This Row],[Qty Lokasi]]+Table13[[#This Row],[Qty Lokasi]]+Table7[[#This Row],[Qty Lokasi]])</f>
        <v>5212</v>
      </c>
      <c r="AF113" s="26">
        <f>SUM(Table1[[#This Row],[Available]]+Table13[[#This Row],[Available]]+Table7[[#This Row],[Available]])</f>
        <v>1267</v>
      </c>
      <c r="AG113" s="27">
        <f>1-Table3[Available]/Table3[Total]</f>
        <v>0.75690713737528781</v>
      </c>
    </row>
    <row r="114" spans="1:33">
      <c r="A114" s="18" t="s">
        <v>9</v>
      </c>
      <c r="B114" s="1">
        <v>43754</v>
      </c>
      <c r="C114" s="3">
        <v>3616</v>
      </c>
      <c r="D114" s="3">
        <v>2844</v>
      </c>
      <c r="E114" s="3">
        <v>614</v>
      </c>
      <c r="F114" s="3">
        <v>158</v>
      </c>
      <c r="G114" s="9">
        <f>(Table1[Terpakai]+Table1[[#This Row],[Staging]])/Table1[Qty Lokasi]</f>
        <v>0.83019911504424782</v>
      </c>
      <c r="H114" s="9">
        <f>Table1[Max]-Table1[Occupancy]</f>
        <v>0.16980088495575218</v>
      </c>
      <c r="I114" s="17">
        <v>1</v>
      </c>
      <c r="K114" s="1" t="s">
        <v>10</v>
      </c>
      <c r="L114" s="1">
        <v>43754</v>
      </c>
      <c r="M114" s="3">
        <v>1042</v>
      </c>
      <c r="N114" s="3">
        <v>605</v>
      </c>
      <c r="O114" s="3">
        <v>344</v>
      </c>
      <c r="P114" s="3">
        <v>93</v>
      </c>
      <c r="Q114" s="9">
        <f>(Table13[Terpakai]+Table13[[#This Row],[Staging]])/Table13[Qty Lokasi]</f>
        <v>0.66986564299424189</v>
      </c>
      <c r="R114" s="9">
        <f>Table13[Max]-Table13[Occupancy]</f>
        <v>0.33013435700575811</v>
      </c>
      <c r="S114" s="2">
        <v>1</v>
      </c>
      <c r="U114" s="3" t="s">
        <v>11</v>
      </c>
      <c r="V114" s="1">
        <v>43754</v>
      </c>
      <c r="W114" s="3">
        <v>544</v>
      </c>
      <c r="X114" s="3">
        <v>168</v>
      </c>
      <c r="Y114" s="3">
        <v>335</v>
      </c>
      <c r="Z114" s="3">
        <v>41</v>
      </c>
      <c r="AA114" s="9">
        <f>(Table7[Terpakai]+Table7[[#This Row],[Staging]])/Table7[Qty Lokasi]</f>
        <v>0.38419117647058826</v>
      </c>
      <c r="AB114" s="9">
        <f>Table7[Max]-Table7[Occupancy]</f>
        <v>0.61580882352941169</v>
      </c>
      <c r="AC114" s="2">
        <v>1</v>
      </c>
      <c r="AE114" s="26">
        <f>SUM(Table1[[#This Row],[Qty Lokasi]]+Table13[[#This Row],[Qty Lokasi]]+Table7[[#This Row],[Qty Lokasi]])</f>
        <v>5202</v>
      </c>
      <c r="AF114" s="26">
        <f>SUM(Table1[[#This Row],[Available]]+Table13[[#This Row],[Available]]+Table7[[#This Row],[Available]])</f>
        <v>1293</v>
      </c>
      <c r="AG114" s="27">
        <f>1-Table3[Available]/Table3[Total]</f>
        <v>0.75144175317185702</v>
      </c>
    </row>
    <row r="115" spans="1:33">
      <c r="A115" s="18" t="s">
        <v>9</v>
      </c>
      <c r="B115" s="1">
        <v>43755</v>
      </c>
      <c r="C115" s="3">
        <v>3616</v>
      </c>
      <c r="D115" s="3">
        <v>2945</v>
      </c>
      <c r="E115" s="3">
        <v>513</v>
      </c>
      <c r="F115" s="3">
        <v>158</v>
      </c>
      <c r="G115" s="9">
        <f>(Table1[Terpakai]+Table1[[#This Row],[Staging]])/Table1[Qty Lokasi]</f>
        <v>0.85813053097345138</v>
      </c>
      <c r="H115" s="9">
        <f>Table1[Max]-Table1[Occupancy]</f>
        <v>0.14186946902654862</v>
      </c>
      <c r="I115" s="17">
        <v>1</v>
      </c>
      <c r="K115" s="1" t="s">
        <v>10</v>
      </c>
      <c r="L115" s="1">
        <v>43755</v>
      </c>
      <c r="M115" s="3">
        <v>1042</v>
      </c>
      <c r="N115" s="3">
        <v>602</v>
      </c>
      <c r="O115" s="3">
        <v>403</v>
      </c>
      <c r="P115" s="3">
        <v>37</v>
      </c>
      <c r="Q115" s="9">
        <f>(Table13[Terpakai]+Table13[[#This Row],[Staging]])/Table13[Qty Lokasi]</f>
        <v>0.61324376199616126</v>
      </c>
      <c r="R115" s="9">
        <f>Table13[Max]-Table13[Occupancy]</f>
        <v>0.38675623800383874</v>
      </c>
      <c r="S115" s="2">
        <v>1</v>
      </c>
      <c r="U115" s="3" t="s">
        <v>11</v>
      </c>
      <c r="V115" s="1">
        <v>43755</v>
      </c>
      <c r="W115" s="3">
        <v>544</v>
      </c>
      <c r="X115" s="3">
        <v>120</v>
      </c>
      <c r="Y115" s="3">
        <v>343</v>
      </c>
      <c r="Z115" s="3">
        <v>81</v>
      </c>
      <c r="AA115" s="9">
        <f>(Table7[Terpakai]+Table7[[#This Row],[Staging]])/Table7[Qty Lokasi]</f>
        <v>0.36948529411764708</v>
      </c>
      <c r="AB115" s="9">
        <f>Table7[Max]-Table7[Occupancy]</f>
        <v>0.63051470588235292</v>
      </c>
      <c r="AC115" s="2">
        <v>1</v>
      </c>
      <c r="AE115" s="26">
        <f>SUM(Table1[[#This Row],[Qty Lokasi]]+Table13[[#This Row],[Qty Lokasi]]+Table7[[#This Row],[Qty Lokasi]])</f>
        <v>5202</v>
      </c>
      <c r="AF115" s="26">
        <f>SUM(Table1[[#This Row],[Available]]+Table13[[#This Row],[Available]]+Table7[[#This Row],[Available]])</f>
        <v>1259</v>
      </c>
      <c r="AG115" s="27">
        <f>1-Table3[Available]/Table3[Total]</f>
        <v>0.7579777008842753</v>
      </c>
    </row>
    <row r="116" spans="1:33">
      <c r="A116" s="18" t="s">
        <v>9</v>
      </c>
      <c r="B116" s="1">
        <v>43756</v>
      </c>
      <c r="C116" s="3">
        <v>3616</v>
      </c>
      <c r="D116" s="3">
        <v>2994</v>
      </c>
      <c r="E116" s="3">
        <v>584</v>
      </c>
      <c r="F116" s="3">
        <v>38</v>
      </c>
      <c r="G116" s="9">
        <f>(Table1[Terpakai]+Table1[[#This Row],[Staging]])/Table1[Qty Lokasi]</f>
        <v>0.83849557522123896</v>
      </c>
      <c r="H116" s="9">
        <f>Table1[Max]-Table1[Occupancy]</f>
        <v>0.16150442477876104</v>
      </c>
      <c r="I116" s="17">
        <v>1</v>
      </c>
      <c r="K116" s="1" t="s">
        <v>10</v>
      </c>
      <c r="L116" s="1">
        <v>43756</v>
      </c>
      <c r="M116" s="3">
        <v>1042</v>
      </c>
      <c r="N116" s="3">
        <v>612</v>
      </c>
      <c r="O116" s="3">
        <v>381</v>
      </c>
      <c r="P116" s="3">
        <v>49</v>
      </c>
      <c r="Q116" s="9">
        <f>(Table13[Terpakai]+Table13[[#This Row],[Staging]])/Table13[Qty Lokasi]</f>
        <v>0.63435700575815734</v>
      </c>
      <c r="R116" s="9">
        <f>Table13[Max]-Table13[Occupancy]</f>
        <v>0.36564299424184266</v>
      </c>
      <c r="S116" s="2">
        <v>1</v>
      </c>
      <c r="U116" s="3" t="s">
        <v>11</v>
      </c>
      <c r="V116" s="1">
        <v>43756</v>
      </c>
      <c r="W116" s="3">
        <v>544</v>
      </c>
      <c r="X116" s="3">
        <v>110</v>
      </c>
      <c r="Y116" s="3">
        <v>356</v>
      </c>
      <c r="Z116" s="3">
        <v>78</v>
      </c>
      <c r="AA116" s="9">
        <f>(Table7[Terpakai]+Table7[[#This Row],[Staging]])/Table7[Qty Lokasi]</f>
        <v>0.34558823529411764</v>
      </c>
      <c r="AB116" s="9">
        <f>Table7[Max]-Table7[Occupancy]</f>
        <v>0.65441176470588236</v>
      </c>
      <c r="AC116" s="2">
        <v>1</v>
      </c>
      <c r="AE116" s="26">
        <f>SUM(Table1[[#This Row],[Qty Lokasi]]+Table13[[#This Row],[Qty Lokasi]]+Table7[[#This Row],[Qty Lokasi]])</f>
        <v>5202</v>
      </c>
      <c r="AF116" s="26">
        <f>SUM(Table1[[#This Row],[Available]]+Table13[[#This Row],[Available]]+Table7[[#This Row],[Available]])</f>
        <v>1321</v>
      </c>
      <c r="AG116" s="27">
        <f>1-Table3[Available]/Table3[Total]</f>
        <v>0.74605920799692427</v>
      </c>
    </row>
    <row r="117" spans="1:33">
      <c r="A117" s="18" t="s">
        <v>9</v>
      </c>
      <c r="B117" s="1">
        <v>43759</v>
      </c>
      <c r="C117" s="3">
        <v>3616</v>
      </c>
      <c r="D117" s="3">
        <v>3005</v>
      </c>
      <c r="E117" s="3">
        <v>611</v>
      </c>
      <c r="F117" s="3">
        <v>0</v>
      </c>
      <c r="G117" s="9">
        <f>(Table1[Terpakai]+Table1[[#This Row],[Staging]])/Table1[Qty Lokasi]</f>
        <v>0.8310287610619469</v>
      </c>
      <c r="H117" s="9">
        <f>Table1[Max]-Table1[Occupancy]</f>
        <v>0.1689712389380531</v>
      </c>
      <c r="I117" s="17">
        <v>1</v>
      </c>
      <c r="K117" s="1" t="s">
        <v>10</v>
      </c>
      <c r="L117" s="1">
        <v>43759</v>
      </c>
      <c r="M117" s="3">
        <v>1042</v>
      </c>
      <c r="N117" s="3">
        <v>630</v>
      </c>
      <c r="O117" s="3">
        <v>412</v>
      </c>
      <c r="P117" s="3">
        <v>0</v>
      </c>
      <c r="Q117" s="9">
        <f>(Table13[Terpakai]+Table13[[#This Row],[Staging]])/Table13[Qty Lokasi]</f>
        <v>0.60460652591170827</v>
      </c>
      <c r="R117" s="9">
        <f>Table13[Max]-Table13[Occupancy]</f>
        <v>0.39539347408829173</v>
      </c>
      <c r="S117" s="2">
        <v>1</v>
      </c>
      <c r="U117" s="3" t="s">
        <v>11</v>
      </c>
      <c r="V117" s="1">
        <v>43759</v>
      </c>
      <c r="W117" s="3">
        <v>544</v>
      </c>
      <c r="X117" s="3">
        <v>149</v>
      </c>
      <c r="Y117" s="3">
        <v>395</v>
      </c>
      <c r="Z117" s="3">
        <v>0</v>
      </c>
      <c r="AA117" s="9">
        <f>(Table7[Terpakai]+Table7[[#This Row],[Staging]])/Table7[Qty Lokasi]</f>
        <v>0.27389705882352944</v>
      </c>
      <c r="AB117" s="9">
        <f>Table7[Max]-Table7[Occupancy]</f>
        <v>0.72610294117647056</v>
      </c>
      <c r="AC117" s="2">
        <v>1</v>
      </c>
      <c r="AE117" s="26">
        <f>SUM(Table1[[#This Row],[Qty Lokasi]]+Table13[[#This Row],[Qty Lokasi]]+Table7[[#This Row],[Qty Lokasi]])</f>
        <v>5202</v>
      </c>
      <c r="AF117" s="26">
        <f>SUM(Table1[[#This Row],[Available]]+Table13[[#This Row],[Available]]+Table7[[#This Row],[Available]])</f>
        <v>1418</v>
      </c>
      <c r="AG117" s="27">
        <f>1-Table3[Available]/Table3[Total]</f>
        <v>0.72741253364090741</v>
      </c>
    </row>
    <row r="118" spans="1:33">
      <c r="A118" s="18" t="s">
        <v>9</v>
      </c>
      <c r="B118" s="1">
        <v>43760</v>
      </c>
      <c r="C118" s="3">
        <v>3616</v>
      </c>
      <c r="D118" s="3">
        <v>2983</v>
      </c>
      <c r="E118" s="3">
        <v>484</v>
      </c>
      <c r="F118" s="3">
        <v>149</v>
      </c>
      <c r="G118" s="9">
        <f>(Table1[Terpakai]+Table1[[#This Row],[Staging]])/Table1[Qty Lokasi]</f>
        <v>0.86615044247787609</v>
      </c>
      <c r="H118" s="9">
        <f>Table1[Max]-Table1[Occupancy]</f>
        <v>0.13384955752212391</v>
      </c>
      <c r="I118" s="17">
        <v>1</v>
      </c>
      <c r="K118" s="1" t="s">
        <v>10</v>
      </c>
      <c r="L118" s="1">
        <v>43760</v>
      </c>
      <c r="M118" s="3">
        <v>1042</v>
      </c>
      <c r="N118" s="3">
        <v>583</v>
      </c>
      <c r="O118" s="3">
        <v>403</v>
      </c>
      <c r="P118" s="3">
        <v>56</v>
      </c>
      <c r="Q118" s="9">
        <f>(Table13[Terpakai]+Table13[[#This Row],[Staging]])/Table13[Qty Lokasi]</f>
        <v>0.61324376199616126</v>
      </c>
      <c r="R118" s="9">
        <f>Table13[Max]-Table13[Occupancy]</f>
        <v>0.38675623800383874</v>
      </c>
      <c r="S118" s="2">
        <v>1</v>
      </c>
      <c r="U118" s="3" t="s">
        <v>11</v>
      </c>
      <c r="V118" s="1">
        <v>43760</v>
      </c>
      <c r="W118" s="3">
        <v>544</v>
      </c>
      <c r="X118" s="3">
        <v>174</v>
      </c>
      <c r="Y118" s="3">
        <v>284</v>
      </c>
      <c r="Z118" s="3">
        <v>86</v>
      </c>
      <c r="AA118" s="9">
        <f>(Table7[Terpakai]+Table7[[#This Row],[Staging]])/Table7[Qty Lokasi]</f>
        <v>0.47794117647058826</v>
      </c>
      <c r="AB118" s="9">
        <f>Table7[Max]-Table7[Occupancy]</f>
        <v>0.52205882352941169</v>
      </c>
      <c r="AC118" s="2">
        <v>1</v>
      </c>
      <c r="AE118" s="26">
        <f>SUM(Table1[[#This Row],[Qty Lokasi]]+Table13[[#This Row],[Qty Lokasi]]+Table7[[#This Row],[Qty Lokasi]])</f>
        <v>5202</v>
      </c>
      <c r="AF118" s="26">
        <f>SUM(Table1[[#This Row],[Available]]+Table13[[#This Row],[Available]]+Table7[[#This Row],[Available]])</f>
        <v>1171</v>
      </c>
      <c r="AG118" s="27">
        <f>1-Table3[Available]/Table3[Total]</f>
        <v>0.77489427143406386</v>
      </c>
    </row>
    <row r="119" spans="1:33">
      <c r="A119" s="18" t="s">
        <v>9</v>
      </c>
      <c r="B119" s="1">
        <v>43761</v>
      </c>
      <c r="C119" s="3">
        <v>3616</v>
      </c>
      <c r="D119" s="3">
        <v>3119</v>
      </c>
      <c r="E119" s="3">
        <v>418</v>
      </c>
      <c r="F119" s="3">
        <v>79</v>
      </c>
      <c r="G119" s="9">
        <f>(Table1[Terpakai]+Table1[[#This Row],[Staging]])/Table1[Qty Lokasi]</f>
        <v>0.88440265486725667</v>
      </c>
      <c r="H119" s="9">
        <f>Table1[Max]-Table1[Occupancy]</f>
        <v>0.11559734513274333</v>
      </c>
      <c r="I119" s="17">
        <v>1</v>
      </c>
      <c r="K119" s="1" t="s">
        <v>10</v>
      </c>
      <c r="L119" s="1">
        <v>43761</v>
      </c>
      <c r="M119" s="3">
        <v>1042</v>
      </c>
      <c r="N119" s="3">
        <v>593</v>
      </c>
      <c r="O119" s="3">
        <v>383</v>
      </c>
      <c r="P119" s="3">
        <v>66</v>
      </c>
      <c r="Q119" s="9">
        <f>(Table13[Terpakai]+Table13[[#This Row],[Staging]])/Table13[Qty Lokasi]</f>
        <v>0.6324376199616123</v>
      </c>
      <c r="R119" s="9">
        <f>Table13[Max]-Table13[Occupancy]</f>
        <v>0.3675623800383877</v>
      </c>
      <c r="S119" s="2">
        <v>1</v>
      </c>
      <c r="U119" s="3" t="s">
        <v>11</v>
      </c>
      <c r="V119" s="1">
        <v>43761</v>
      </c>
      <c r="W119" s="3">
        <v>544</v>
      </c>
      <c r="X119" s="3">
        <v>198</v>
      </c>
      <c r="Y119" s="3">
        <v>304</v>
      </c>
      <c r="Z119" s="3">
        <v>42</v>
      </c>
      <c r="AA119" s="9">
        <f>(Table7[Terpakai]+Table7[[#This Row],[Staging]])/Table7[Qty Lokasi]</f>
        <v>0.44117647058823528</v>
      </c>
      <c r="AB119" s="9">
        <f>Table7[Max]-Table7[Occupancy]</f>
        <v>0.55882352941176472</v>
      </c>
      <c r="AC119" s="2">
        <v>1</v>
      </c>
      <c r="AE119" s="26">
        <f>SUM(Table1[[#This Row],[Qty Lokasi]]+Table13[[#This Row],[Qty Lokasi]]+Table7[[#This Row],[Qty Lokasi]])</f>
        <v>5202</v>
      </c>
      <c r="AF119" s="26">
        <f>SUM(Table1[[#This Row],[Available]]+Table13[[#This Row],[Available]]+Table7[[#This Row],[Available]])</f>
        <v>1105</v>
      </c>
      <c r="AG119" s="27">
        <f>1-Table3[Available]/Table3[Total]</f>
        <v>0.78758169934640521</v>
      </c>
    </row>
    <row r="120" spans="1:33">
      <c r="A120" s="18" t="s">
        <v>9</v>
      </c>
      <c r="B120" s="1">
        <v>43762</v>
      </c>
      <c r="C120" s="3">
        <v>3616</v>
      </c>
      <c r="D120" s="3">
        <v>3207</v>
      </c>
      <c r="E120" s="3">
        <v>317</v>
      </c>
      <c r="F120" s="3">
        <v>92</v>
      </c>
      <c r="G120" s="9">
        <f>(Table1[Terpakai]+Table1[[#This Row],[Staging]])/Table1[Qty Lokasi]</f>
        <v>0.91233407079646023</v>
      </c>
      <c r="H120" s="9">
        <f>Table1[Max]-Table1[Occupancy]</f>
        <v>8.7665929203539772E-2</v>
      </c>
      <c r="I120" s="17">
        <v>1</v>
      </c>
      <c r="K120" s="1" t="s">
        <v>10</v>
      </c>
      <c r="L120" s="1">
        <v>43762</v>
      </c>
      <c r="M120" s="3">
        <v>1042</v>
      </c>
      <c r="N120" s="3">
        <v>634</v>
      </c>
      <c r="O120" s="3">
        <v>373</v>
      </c>
      <c r="P120" s="3">
        <v>35</v>
      </c>
      <c r="Q120" s="9">
        <f>(Table13[Terpakai]+Table13[[#This Row],[Staging]])/Table13[Qty Lokasi]</f>
        <v>0.64203454894433776</v>
      </c>
      <c r="R120" s="9">
        <f>Table13[Max]-Table13[Occupancy]</f>
        <v>0.35796545105566224</v>
      </c>
      <c r="S120" s="2">
        <v>1</v>
      </c>
      <c r="U120" s="3" t="s">
        <v>11</v>
      </c>
      <c r="V120" s="1">
        <v>43762</v>
      </c>
      <c r="W120" s="3">
        <v>544</v>
      </c>
      <c r="X120" s="3">
        <v>190</v>
      </c>
      <c r="Y120" s="3">
        <v>237</v>
      </c>
      <c r="Z120" s="3">
        <v>117</v>
      </c>
      <c r="AA120" s="9">
        <f>(Table7[Terpakai]+Table7[[#This Row],[Staging]])/Table7[Qty Lokasi]</f>
        <v>0.56433823529411764</v>
      </c>
      <c r="AB120" s="9">
        <f>Table7[Max]-Table7[Occupancy]</f>
        <v>0.43566176470588236</v>
      </c>
      <c r="AC120" s="2">
        <v>1</v>
      </c>
      <c r="AE120" s="26">
        <f>SUM(Table1[[#This Row],[Qty Lokasi]]+Table13[[#This Row],[Qty Lokasi]]+Table7[[#This Row],[Qty Lokasi]])</f>
        <v>5202</v>
      </c>
      <c r="AF120" s="26">
        <f>SUM(Table1[[#This Row],[Available]]+Table13[[#This Row],[Available]]+Table7[[#This Row],[Available]])</f>
        <v>927</v>
      </c>
      <c r="AG120" s="27">
        <f>1-Table3[Available]/Table3[Total]</f>
        <v>0.82179930795847755</v>
      </c>
    </row>
    <row r="121" spans="1:33">
      <c r="A121" s="18" t="s">
        <v>9</v>
      </c>
      <c r="B121" s="1">
        <v>43763</v>
      </c>
      <c r="C121" s="3">
        <v>3616</v>
      </c>
      <c r="D121" s="3">
        <v>3186</v>
      </c>
      <c r="E121" s="3">
        <v>329</v>
      </c>
      <c r="F121" s="3">
        <v>101</v>
      </c>
      <c r="G121" s="9">
        <f>(Table1[Terpakai]+Table1[[#This Row],[Staging]])/Table1[Qty Lokasi]</f>
        <v>0.90901548672566368</v>
      </c>
      <c r="H121" s="9">
        <f>Table1[Max]-Table1[Occupancy]</f>
        <v>9.0984513274336321E-2</v>
      </c>
      <c r="I121" s="17">
        <v>1</v>
      </c>
      <c r="K121" s="1" t="s">
        <v>10</v>
      </c>
      <c r="L121" s="1">
        <v>43763</v>
      </c>
      <c r="M121" s="3">
        <v>1042</v>
      </c>
      <c r="N121" s="3">
        <v>652</v>
      </c>
      <c r="O121" s="3">
        <v>368</v>
      </c>
      <c r="P121" s="3">
        <v>22</v>
      </c>
      <c r="Q121" s="9">
        <f>(Table13[Terpakai]+Table13[[#This Row],[Staging]])/Table13[Qty Lokasi]</f>
        <v>0.64683301343570054</v>
      </c>
      <c r="R121" s="9">
        <f>Table13[Max]-Table13[Occupancy]</f>
        <v>0.35316698656429946</v>
      </c>
      <c r="S121" s="2">
        <v>1</v>
      </c>
      <c r="U121" s="3" t="s">
        <v>11</v>
      </c>
      <c r="V121" s="1">
        <v>43763</v>
      </c>
      <c r="W121" s="3">
        <v>544</v>
      </c>
      <c r="X121" s="3">
        <v>217</v>
      </c>
      <c r="Y121" s="3">
        <v>229</v>
      </c>
      <c r="Z121" s="3">
        <v>98</v>
      </c>
      <c r="AA121" s="9">
        <f>(Table7[Terpakai]+Table7[[#This Row],[Staging]])/Table7[Qty Lokasi]</f>
        <v>0.57904411764705888</v>
      </c>
      <c r="AB121" s="9">
        <f>Table7[Max]-Table7[Occupancy]</f>
        <v>0.42095588235294112</v>
      </c>
      <c r="AC121" s="2">
        <v>1</v>
      </c>
      <c r="AE121" s="26">
        <f>SUM(Table1[[#This Row],[Qty Lokasi]]+Table13[[#This Row],[Qty Lokasi]]+Table7[[#This Row],[Qty Lokasi]])</f>
        <v>5202</v>
      </c>
      <c r="AF121" s="26">
        <f>SUM(Table1[[#This Row],[Available]]+Table13[[#This Row],[Available]]+Table7[[#This Row],[Available]])</f>
        <v>926</v>
      </c>
      <c r="AG121" s="27">
        <f>1-Table3[Available]/Table3[Total]</f>
        <v>0.8219915417147251</v>
      </c>
    </row>
    <row r="122" spans="1:33">
      <c r="A122" s="18" t="s">
        <v>9</v>
      </c>
      <c r="B122" s="1">
        <v>43766</v>
      </c>
      <c r="C122" s="3">
        <v>3616</v>
      </c>
      <c r="D122" s="3">
        <v>3060</v>
      </c>
      <c r="E122" s="3">
        <v>556</v>
      </c>
      <c r="F122" s="3">
        <v>0</v>
      </c>
      <c r="G122" s="9">
        <f>(Table1[Terpakai]+Table1[[#This Row],[Staging]])/Table1[Qty Lokasi]</f>
        <v>0.84623893805309736</v>
      </c>
      <c r="H122" s="9">
        <f>Table1[Max]-Table1[Occupancy]</f>
        <v>0.15376106194690264</v>
      </c>
      <c r="I122" s="17">
        <v>1</v>
      </c>
      <c r="K122" s="1" t="s">
        <v>10</v>
      </c>
      <c r="L122" s="1">
        <v>43766</v>
      </c>
      <c r="M122" s="3">
        <v>1042</v>
      </c>
      <c r="N122" s="3">
        <v>780</v>
      </c>
      <c r="O122" s="3">
        <v>246</v>
      </c>
      <c r="P122" s="3">
        <v>16</v>
      </c>
      <c r="Q122" s="9">
        <f>(Table13[Terpakai]+Table13[[#This Row],[Staging]])/Table13[Qty Lokasi]</f>
        <v>0.76391554702495201</v>
      </c>
      <c r="R122" s="9">
        <f>Table13[Max]-Table13[Occupancy]</f>
        <v>0.23608445297504799</v>
      </c>
      <c r="S122" s="2">
        <v>1</v>
      </c>
      <c r="U122" s="3" t="s">
        <v>11</v>
      </c>
      <c r="V122" s="1">
        <v>43766</v>
      </c>
      <c r="W122" s="3">
        <v>544</v>
      </c>
      <c r="X122" s="3">
        <v>179</v>
      </c>
      <c r="Y122" s="3">
        <v>279</v>
      </c>
      <c r="Z122" s="3">
        <v>86</v>
      </c>
      <c r="AA122" s="9">
        <f>(Table7[Terpakai]+Table7[[#This Row],[Staging]])/Table7[Qty Lokasi]</f>
        <v>0.48713235294117646</v>
      </c>
      <c r="AB122" s="9">
        <f>Table7[Max]-Table7[Occupancy]</f>
        <v>0.51286764705882359</v>
      </c>
      <c r="AC122" s="2">
        <v>1</v>
      </c>
      <c r="AE122" s="26">
        <f>SUM(Table1[[#This Row],[Qty Lokasi]]+Table13[[#This Row],[Qty Lokasi]]+Table7[[#This Row],[Qty Lokasi]])</f>
        <v>5202</v>
      </c>
      <c r="AF122" s="26">
        <f>SUM(Table1[[#This Row],[Available]]+Table13[[#This Row],[Available]]+Table7[[#This Row],[Available]])</f>
        <v>1081</v>
      </c>
      <c r="AG122" s="27">
        <f>1-Table3[Available]/Table3[Total]</f>
        <v>0.79219530949634753</v>
      </c>
    </row>
    <row r="123" spans="1:33">
      <c r="A123" s="18" t="s">
        <v>9</v>
      </c>
      <c r="B123" s="1">
        <v>43767</v>
      </c>
      <c r="C123" s="3">
        <v>3616</v>
      </c>
      <c r="D123" s="3">
        <v>2992</v>
      </c>
      <c r="E123" s="3">
        <v>534</v>
      </c>
      <c r="F123" s="3">
        <v>90</v>
      </c>
      <c r="G123" s="9">
        <f>(Table1[Terpakai]+Table1[[#This Row],[Staging]])/Table1[Qty Lokasi]</f>
        <v>0.85232300884955747</v>
      </c>
      <c r="H123" s="9">
        <f>Table1[Max]-Table1[Occupancy]</f>
        <v>0.14767699115044253</v>
      </c>
      <c r="I123" s="17">
        <v>1</v>
      </c>
      <c r="K123" s="1" t="s">
        <v>10</v>
      </c>
      <c r="L123" s="1">
        <v>43767</v>
      </c>
      <c r="M123" s="3">
        <v>1042</v>
      </c>
      <c r="N123" s="3">
        <v>711</v>
      </c>
      <c r="O123" s="3">
        <v>281</v>
      </c>
      <c r="P123" s="3">
        <v>50</v>
      </c>
      <c r="Q123" s="9">
        <f>(Table13[Terpakai]+Table13[[#This Row],[Staging]])/Table13[Qty Lokasi]</f>
        <v>0.73032629558541262</v>
      </c>
      <c r="R123" s="9">
        <f>Table13[Max]-Table13[Occupancy]</f>
        <v>0.26967370441458738</v>
      </c>
      <c r="S123" s="2">
        <v>1</v>
      </c>
      <c r="U123" s="3" t="s">
        <v>11</v>
      </c>
      <c r="V123" s="1">
        <v>43767</v>
      </c>
      <c r="W123" s="3">
        <v>544</v>
      </c>
      <c r="X123" s="3">
        <v>157</v>
      </c>
      <c r="Y123" s="3">
        <v>381</v>
      </c>
      <c r="Z123" s="3">
        <v>6</v>
      </c>
      <c r="AA123" s="9">
        <f>(Table7[Terpakai]+Table7[[#This Row],[Staging]])/Table7[Qty Lokasi]</f>
        <v>0.29963235294117646</v>
      </c>
      <c r="AB123" s="9">
        <f>Table7[Max]-Table7[Occupancy]</f>
        <v>0.70036764705882359</v>
      </c>
      <c r="AC123" s="2">
        <v>1</v>
      </c>
      <c r="AE123" s="26">
        <f>SUM(Table1[[#This Row],[Qty Lokasi]]+Table13[[#This Row],[Qty Lokasi]]+Table7[[#This Row],[Qty Lokasi]])</f>
        <v>5202</v>
      </c>
      <c r="AF123" s="26">
        <f>SUM(Table1[[#This Row],[Available]]+Table13[[#This Row],[Available]]+Table7[[#This Row],[Available]])</f>
        <v>1196</v>
      </c>
      <c r="AG123" s="27">
        <f>1-Table3[Available]/Table3[Total]</f>
        <v>0.77008842752787388</v>
      </c>
    </row>
    <row r="124" spans="1:33">
      <c r="A124" s="18" t="s">
        <v>9</v>
      </c>
      <c r="B124" s="1">
        <v>43768</v>
      </c>
      <c r="C124" s="24">
        <v>3616</v>
      </c>
      <c r="D124" s="24">
        <v>2992</v>
      </c>
      <c r="E124" s="24">
        <v>534</v>
      </c>
      <c r="F124" s="24">
        <v>90</v>
      </c>
      <c r="G124" s="9">
        <f>(Table1[Terpakai]+Table1[[#This Row],[Staging]])/Table1[Qty Lokasi]</f>
        <v>0.85232300884955747</v>
      </c>
      <c r="H124" s="9">
        <f>Table1[Max]-Table1[Occupancy]</f>
        <v>0.14767699115044253</v>
      </c>
      <c r="I124" s="17">
        <v>1</v>
      </c>
      <c r="K124" s="1" t="s">
        <v>10</v>
      </c>
      <c r="L124" s="1">
        <v>43768</v>
      </c>
      <c r="M124" s="3">
        <v>1042</v>
      </c>
      <c r="N124" s="3">
        <v>697</v>
      </c>
      <c r="O124" s="3">
        <v>278</v>
      </c>
      <c r="P124" s="3">
        <v>67</v>
      </c>
      <c r="Q124" s="9">
        <f>(Table13[Terpakai]+Table13[[#This Row],[Staging]])/Table13[Qty Lokasi]</f>
        <v>0.73320537428023036</v>
      </c>
      <c r="R124" s="9">
        <f>Table13[Max]-Table13[Occupancy]</f>
        <v>0.26679462571976964</v>
      </c>
      <c r="S124" s="2">
        <v>1</v>
      </c>
      <c r="U124" s="3" t="s">
        <v>11</v>
      </c>
      <c r="V124" s="1">
        <v>43768</v>
      </c>
      <c r="W124" s="3">
        <v>544</v>
      </c>
      <c r="X124" s="3">
        <v>115</v>
      </c>
      <c r="Y124" s="3">
        <v>386</v>
      </c>
      <c r="Z124" s="3">
        <v>43</v>
      </c>
      <c r="AA124" s="9">
        <f>(Table7[Terpakai]+Table7[[#This Row],[Staging]])/Table7[Qty Lokasi]</f>
        <v>0.29044117647058826</v>
      </c>
      <c r="AB124" s="9">
        <f>Table7[Max]-Table7[Occupancy]</f>
        <v>0.70955882352941169</v>
      </c>
      <c r="AC124" s="2">
        <v>1</v>
      </c>
      <c r="AE124" s="26">
        <f>SUM(Table1[[#This Row],[Qty Lokasi]]+Table13[[#This Row],[Qty Lokasi]]+Table7[[#This Row],[Qty Lokasi]])</f>
        <v>5202</v>
      </c>
      <c r="AF124" s="26">
        <f>SUM(Table1[[#This Row],[Available]]+Table13[[#This Row],[Available]]+Table7[[#This Row],[Available]])</f>
        <v>1198</v>
      </c>
      <c r="AG124" s="27">
        <f>1-Table3[Available]/Table3[Total]</f>
        <v>0.76970396001537866</v>
      </c>
    </row>
    <row r="125" spans="1:33" ht="15.75">
      <c r="A125" s="18" t="s">
        <v>9</v>
      </c>
      <c r="B125" s="1">
        <v>43769</v>
      </c>
      <c r="C125" s="10">
        <v>3616</v>
      </c>
      <c r="D125" s="10">
        <v>2976</v>
      </c>
      <c r="E125" s="10">
        <v>627</v>
      </c>
      <c r="F125" s="10">
        <v>13</v>
      </c>
      <c r="G125" s="9">
        <f>(Table1[Terpakai]+Table1[[#This Row],[Staging]])/Table1[Qty Lokasi]</f>
        <v>0.82660398230088494</v>
      </c>
      <c r="H125" s="9">
        <f>Table1[Max]-Table1[Occupancy]</f>
        <v>0.17339601769911506</v>
      </c>
      <c r="I125" s="17">
        <v>1</v>
      </c>
      <c r="K125" s="1" t="s">
        <v>10</v>
      </c>
      <c r="L125" s="1">
        <v>43769</v>
      </c>
      <c r="M125" s="3">
        <v>1042</v>
      </c>
      <c r="N125" s="3">
        <v>715</v>
      </c>
      <c r="O125" s="3">
        <v>319</v>
      </c>
      <c r="P125" s="3">
        <v>8</v>
      </c>
      <c r="Q125" s="9">
        <f>(Table13[Terpakai]+Table13[[#This Row],[Staging]])/Table13[Qty Lokasi]</f>
        <v>0.69385796545105571</v>
      </c>
      <c r="R125" s="9">
        <f>Table13[Max]-Table13[Occupancy]</f>
        <v>0.30614203454894429</v>
      </c>
      <c r="S125" s="2">
        <v>1</v>
      </c>
      <c r="U125" s="3" t="s">
        <v>11</v>
      </c>
      <c r="V125" s="1">
        <v>43769</v>
      </c>
      <c r="W125" s="3">
        <v>544</v>
      </c>
      <c r="X125" s="3">
        <v>142</v>
      </c>
      <c r="Y125" s="3">
        <v>342</v>
      </c>
      <c r="Z125" s="3">
        <v>60</v>
      </c>
      <c r="AA125" s="9">
        <f>(Table7[Terpakai]+Table7[[#This Row],[Staging]])/Table7[Qty Lokasi]</f>
        <v>0.37132352941176472</v>
      </c>
      <c r="AB125" s="9">
        <f>Table7[Max]-Table7[Occupancy]</f>
        <v>0.62867647058823528</v>
      </c>
      <c r="AC125" s="2">
        <v>1</v>
      </c>
      <c r="AE125" s="26">
        <f>SUM(Table1[[#This Row],[Qty Lokasi]]+Table13[[#This Row],[Qty Lokasi]]+Table7[[#This Row],[Qty Lokasi]])</f>
        <v>5202</v>
      </c>
      <c r="AF125" s="26">
        <f>SUM(Table1[[#This Row],[Available]]+Table13[[#This Row],[Available]]+Table7[[#This Row],[Available]])</f>
        <v>1288</v>
      </c>
      <c r="AG125" s="27">
        <f>1-Table3[Available]/Table3[Total]</f>
        <v>0.75240292195309499</v>
      </c>
    </row>
    <row r="126" spans="1:33">
      <c r="A126" s="18" t="s">
        <v>9</v>
      </c>
      <c r="B126" s="1">
        <v>43770</v>
      </c>
      <c r="C126" s="3">
        <v>3616</v>
      </c>
      <c r="D126" s="3">
        <v>2937</v>
      </c>
      <c r="E126" s="3">
        <v>678</v>
      </c>
      <c r="F126" s="3">
        <v>1</v>
      </c>
      <c r="G126" s="9">
        <f>(Table1[Terpakai]+Table1[[#This Row],[Staging]])/Table1[Qty Lokasi]</f>
        <v>0.8125</v>
      </c>
      <c r="H126" s="9">
        <f>Table1[Max]-Table1[Occupancy]</f>
        <v>0.1875</v>
      </c>
      <c r="I126" s="17">
        <v>1</v>
      </c>
      <c r="K126" s="1" t="s">
        <v>10</v>
      </c>
      <c r="L126" s="1">
        <v>43770</v>
      </c>
      <c r="M126" s="3">
        <v>1042</v>
      </c>
      <c r="N126" s="3">
        <v>694</v>
      </c>
      <c r="O126" s="3">
        <v>341</v>
      </c>
      <c r="P126" s="3">
        <v>7</v>
      </c>
      <c r="Q126" s="9">
        <f>(Table13[Terpakai]+Table13[[#This Row],[Staging]])/Table13[Qty Lokasi]</f>
        <v>0.67274472168905952</v>
      </c>
      <c r="R126" s="9">
        <f>Table13[Max]-Table13[Occupancy]</f>
        <v>0.32725527831094048</v>
      </c>
      <c r="S126" s="2">
        <v>1</v>
      </c>
      <c r="U126" s="3" t="s">
        <v>11</v>
      </c>
      <c r="V126" s="1">
        <v>43770</v>
      </c>
      <c r="W126" s="3">
        <v>544</v>
      </c>
      <c r="X126" s="3">
        <v>145</v>
      </c>
      <c r="Y126" s="3">
        <v>301</v>
      </c>
      <c r="Z126" s="3">
        <v>98</v>
      </c>
      <c r="AA126" s="9">
        <f>(Table7[Terpakai]+Table7[[#This Row],[Staging]])/Table7[Qty Lokasi]</f>
        <v>0.44669117647058826</v>
      </c>
      <c r="AB126" s="9">
        <f>Table7[Max]-Table7[Occupancy]</f>
        <v>0.55330882352941169</v>
      </c>
      <c r="AC126" s="2">
        <v>1</v>
      </c>
      <c r="AE126" s="26">
        <f>SUM(Table1[[#This Row],[Qty Lokasi]]+Table13[[#This Row],[Qty Lokasi]]+Table7[[#This Row],[Qty Lokasi]])</f>
        <v>5202</v>
      </c>
      <c r="AF126" s="26">
        <f>SUM(Table1[[#This Row],[Available]]+Table13[[#This Row],[Available]]+Table7[[#This Row],[Available]])</f>
        <v>1320</v>
      </c>
      <c r="AG126" s="27">
        <f>1-Table3[Available]/Table3[Total]</f>
        <v>0.74625144175317182</v>
      </c>
    </row>
    <row r="127" spans="1:33">
      <c r="A127" s="18" t="s">
        <v>9</v>
      </c>
      <c r="B127" s="1">
        <v>43773</v>
      </c>
      <c r="C127" s="3">
        <v>3616</v>
      </c>
      <c r="D127" s="3">
        <v>2790</v>
      </c>
      <c r="E127" s="3">
        <v>825</v>
      </c>
      <c r="F127" s="3">
        <v>1</v>
      </c>
      <c r="G127" s="9">
        <f>(Table1[Terpakai]+Table1[[#This Row],[Staging]])/Table1[Qty Lokasi]</f>
        <v>0.77184734513274333</v>
      </c>
      <c r="H127" s="9">
        <f>Table1[Max]-Table1[Occupancy]</f>
        <v>0.22815265486725667</v>
      </c>
      <c r="I127" s="17">
        <v>1</v>
      </c>
      <c r="K127" s="1" t="s">
        <v>10</v>
      </c>
      <c r="L127" s="1">
        <v>43773</v>
      </c>
      <c r="M127" s="3">
        <v>1042</v>
      </c>
      <c r="N127" s="3">
        <v>723</v>
      </c>
      <c r="O127" s="3">
        <v>319</v>
      </c>
      <c r="P127" s="3">
        <v>0</v>
      </c>
      <c r="Q127" s="9">
        <f>(Table13[Terpakai]+Table13[[#This Row],[Staging]])/Table13[Qty Lokasi]</f>
        <v>0.69385796545105571</v>
      </c>
      <c r="R127" s="9">
        <f>Table13[Max]-Table13[Occupancy]</f>
        <v>0.30614203454894429</v>
      </c>
      <c r="S127" s="2">
        <v>1</v>
      </c>
      <c r="U127" s="3" t="s">
        <v>11</v>
      </c>
      <c r="V127" s="1">
        <v>43773</v>
      </c>
      <c r="W127" s="3">
        <v>544</v>
      </c>
      <c r="X127" s="3">
        <v>158</v>
      </c>
      <c r="Y127" s="3">
        <v>386</v>
      </c>
      <c r="Z127" s="3">
        <v>0</v>
      </c>
      <c r="AA127" s="9">
        <f>(Table7[Terpakai]+Table7[[#This Row],[Staging]])/Table7[Qty Lokasi]</f>
        <v>0.29044117647058826</v>
      </c>
      <c r="AB127" s="9">
        <f>Table7[Max]-Table7[Occupancy]</f>
        <v>0.70955882352941169</v>
      </c>
      <c r="AC127" s="2">
        <v>1</v>
      </c>
      <c r="AE127" s="26">
        <f>SUM(Table1[[#This Row],[Qty Lokasi]]+Table13[[#This Row],[Qty Lokasi]]+Table7[[#This Row],[Qty Lokasi]])</f>
        <v>5202</v>
      </c>
      <c r="AF127" s="26">
        <f>SUM(Table1[[#This Row],[Available]]+Table13[[#This Row],[Available]]+Table7[[#This Row],[Available]])</f>
        <v>1530</v>
      </c>
      <c r="AG127" s="27">
        <f>1-Table3[Available]/Table3[Total]</f>
        <v>0.70588235294117641</v>
      </c>
    </row>
    <row r="128" spans="1:33">
      <c r="A128" s="18" t="s">
        <v>9</v>
      </c>
      <c r="B128" s="1">
        <v>43774</v>
      </c>
      <c r="C128" s="3">
        <v>3844</v>
      </c>
      <c r="D128" s="3">
        <v>2793</v>
      </c>
      <c r="E128" s="3">
        <v>961</v>
      </c>
      <c r="F128" s="3">
        <v>90</v>
      </c>
      <c r="G128" s="9">
        <f>(Table1[Terpakai]+Table1[[#This Row],[Staging]])/Table1[Qty Lokasi]</f>
        <v>0.75</v>
      </c>
      <c r="H128" s="9">
        <f>Table1[Max]-Table1[Occupancy]</f>
        <v>0.25</v>
      </c>
      <c r="I128" s="17">
        <v>1</v>
      </c>
      <c r="K128" s="1" t="s">
        <v>10</v>
      </c>
      <c r="L128" s="1">
        <v>43774</v>
      </c>
      <c r="M128" s="3">
        <v>1042</v>
      </c>
      <c r="N128" s="3">
        <v>718</v>
      </c>
      <c r="O128" s="3">
        <v>267</v>
      </c>
      <c r="P128" s="3">
        <v>57</v>
      </c>
      <c r="Q128" s="9">
        <f>(Table13[Terpakai]+Table13[[#This Row],[Staging]])/Table13[Qty Lokasi]</f>
        <v>0.7437619961612284</v>
      </c>
      <c r="R128" s="9">
        <f>Table13[Max]-Table13[Occupancy]</f>
        <v>0.2562380038387716</v>
      </c>
      <c r="S128" s="2">
        <v>1</v>
      </c>
      <c r="U128" s="3" t="s">
        <v>11</v>
      </c>
      <c r="V128" s="1">
        <v>43774</v>
      </c>
      <c r="W128" s="3">
        <v>456</v>
      </c>
      <c r="X128" s="3">
        <v>185</v>
      </c>
      <c r="Y128" s="3">
        <v>202</v>
      </c>
      <c r="Z128" s="3">
        <v>69</v>
      </c>
      <c r="AA128" s="9">
        <f>(Table7[Terpakai]+Table7[[#This Row],[Staging]])/Table7[Qty Lokasi]</f>
        <v>0.55701754385964908</v>
      </c>
      <c r="AB128" s="9">
        <f>Table7[Max]-Table7[Occupancy]</f>
        <v>0.44298245614035092</v>
      </c>
      <c r="AC128" s="2">
        <v>1</v>
      </c>
      <c r="AE128" s="26">
        <f>SUM(Table1[[#This Row],[Qty Lokasi]]+Table13[[#This Row],[Qty Lokasi]]+Table7[[#This Row],[Qty Lokasi]])</f>
        <v>5342</v>
      </c>
      <c r="AF128" s="26">
        <f>SUM(Table1[[#This Row],[Available]]+Table13[[#This Row],[Available]]+Table7[[#This Row],[Available]])</f>
        <v>1430</v>
      </c>
      <c r="AG128" s="27">
        <f>1-Table3[Available]/Table3[Total]</f>
        <v>0.73230999625608384</v>
      </c>
    </row>
    <row r="129" spans="1:33">
      <c r="A129" s="18" t="s">
        <v>9</v>
      </c>
      <c r="B129" s="1">
        <v>43775</v>
      </c>
      <c r="C129" s="3">
        <v>3844</v>
      </c>
      <c r="D129" s="3">
        <v>2799</v>
      </c>
      <c r="E129" s="3">
        <v>1005</v>
      </c>
      <c r="F129" s="3">
        <v>40</v>
      </c>
      <c r="G129" s="9">
        <f>(Table1[Terpakai]+Table1[[#This Row],[Staging]])/Table1[Qty Lokasi]</f>
        <v>0.73855359001040588</v>
      </c>
      <c r="H129" s="9">
        <f>Table1[Max]-Table1[Occupancy]</f>
        <v>0.26144640998959412</v>
      </c>
      <c r="I129" s="17">
        <v>1</v>
      </c>
      <c r="K129" s="1" t="s">
        <v>10</v>
      </c>
      <c r="L129" s="1">
        <v>43775</v>
      </c>
      <c r="M129" s="3">
        <v>1042</v>
      </c>
      <c r="N129" s="3">
        <v>716</v>
      </c>
      <c r="O129" s="3">
        <v>294</v>
      </c>
      <c r="P129" s="3">
        <v>32</v>
      </c>
      <c r="Q129" s="9">
        <f>(Table13[Terpakai]+Table13[[#This Row],[Staging]])/Table13[Qty Lokasi]</f>
        <v>0.71785028790786953</v>
      </c>
      <c r="R129" s="9">
        <f>Table13[Max]-Table13[Occupancy]</f>
        <v>0.28214971209213047</v>
      </c>
      <c r="S129" s="2">
        <v>1</v>
      </c>
      <c r="U129" s="3" t="s">
        <v>11</v>
      </c>
      <c r="V129" s="1">
        <v>43775</v>
      </c>
      <c r="W129" s="3">
        <v>456</v>
      </c>
      <c r="X129" s="3">
        <v>198</v>
      </c>
      <c r="Y129" s="3">
        <v>236</v>
      </c>
      <c r="Z129" s="3">
        <v>22</v>
      </c>
      <c r="AA129" s="9">
        <f>(Table7[Terpakai]+Table7[[#This Row],[Staging]])/Table7[Qty Lokasi]</f>
        <v>0.48245614035087719</v>
      </c>
      <c r="AB129" s="9">
        <f>Table7[Max]-Table7[Occupancy]</f>
        <v>0.51754385964912286</v>
      </c>
      <c r="AC129" s="2">
        <v>1</v>
      </c>
      <c r="AE129" s="26">
        <f>SUM(Table1[[#This Row],[Qty Lokasi]]+Table13[[#This Row],[Qty Lokasi]]+Table7[[#This Row],[Qty Lokasi]])</f>
        <v>5342</v>
      </c>
      <c r="AF129" s="26">
        <f>SUM(Table1[[#This Row],[Available]]+Table13[[#This Row],[Available]]+Table7[[#This Row],[Available]])</f>
        <v>1535</v>
      </c>
      <c r="AG129" s="27">
        <f>1-Table3[Available]/Table3[Total]</f>
        <v>0.71265443654062155</v>
      </c>
    </row>
    <row r="130" spans="1:33">
      <c r="A130" s="18" t="s">
        <v>9</v>
      </c>
      <c r="B130" s="1">
        <v>43776</v>
      </c>
      <c r="C130" s="3">
        <v>3844</v>
      </c>
      <c r="D130" s="3">
        <v>2772</v>
      </c>
      <c r="E130" s="3">
        <v>952</v>
      </c>
      <c r="F130" s="3">
        <v>120</v>
      </c>
      <c r="G130" s="9">
        <f>(Table1[Terpakai]+Table1[[#This Row],[Staging]])/Table1[Qty Lokasi]</f>
        <v>0.75234131113423519</v>
      </c>
      <c r="H130" s="9">
        <f>Table1[Max]-Table1[Occupancy]</f>
        <v>0.24765868886576481</v>
      </c>
      <c r="I130" s="17">
        <v>1</v>
      </c>
      <c r="K130" s="1" t="s">
        <v>10</v>
      </c>
      <c r="L130" s="1">
        <v>43776</v>
      </c>
      <c r="M130" s="3">
        <v>1042</v>
      </c>
      <c r="N130" s="3">
        <v>649</v>
      </c>
      <c r="O130" s="3">
        <v>333</v>
      </c>
      <c r="P130" s="3">
        <v>60</v>
      </c>
      <c r="Q130" s="9">
        <f>(Table13[Terpakai]+Table13[[#This Row],[Staging]])/Table13[Qty Lokasi]</f>
        <v>0.68042226487523993</v>
      </c>
      <c r="R130" s="9">
        <f>Table13[Max]-Table13[Occupancy]</f>
        <v>0.31957773512476007</v>
      </c>
      <c r="S130" s="2">
        <v>1</v>
      </c>
      <c r="U130" s="3" t="s">
        <v>11</v>
      </c>
      <c r="V130" s="1">
        <v>43776</v>
      </c>
      <c r="W130" s="3">
        <v>456</v>
      </c>
      <c r="X130" s="3">
        <v>147</v>
      </c>
      <c r="Y130" s="3">
        <v>236</v>
      </c>
      <c r="Z130" s="3">
        <v>73</v>
      </c>
      <c r="AA130" s="9">
        <f>(Table7[Terpakai]+Table7[[#This Row],[Staging]])/Table7[Qty Lokasi]</f>
        <v>0.48245614035087719</v>
      </c>
      <c r="AB130" s="9">
        <f>Table7[Max]-Table7[Occupancy]</f>
        <v>0.51754385964912286</v>
      </c>
      <c r="AC130" s="2">
        <v>1</v>
      </c>
      <c r="AE130" s="26">
        <f>SUM(Table1[[#This Row],[Qty Lokasi]]+Table13[[#This Row],[Qty Lokasi]]+Table7[[#This Row],[Qty Lokasi]])</f>
        <v>5342</v>
      </c>
      <c r="AF130" s="26">
        <f>SUM(Table1[[#This Row],[Available]]+Table13[[#This Row],[Available]]+Table7[[#This Row],[Available]])</f>
        <v>1521</v>
      </c>
      <c r="AG130" s="27">
        <f>1-Table3[Available]/Table3[Total]</f>
        <v>0.71527517783601646</v>
      </c>
    </row>
    <row r="131" spans="1:33">
      <c r="A131" s="18" t="s">
        <v>9</v>
      </c>
      <c r="B131" s="1">
        <v>43777</v>
      </c>
      <c r="C131" s="3">
        <v>3844</v>
      </c>
      <c r="D131" s="3">
        <v>2836</v>
      </c>
      <c r="E131" s="3">
        <v>869</v>
      </c>
      <c r="F131" s="3">
        <v>139</v>
      </c>
      <c r="G131" s="9">
        <f>(Table1[Terpakai]+Table1[[#This Row],[Staging]])/Table1[Qty Lokasi]</f>
        <v>0.77393340270551514</v>
      </c>
      <c r="H131" s="9">
        <f>Table1[Max]-Table1[Occupancy]</f>
        <v>0.22606659729448486</v>
      </c>
      <c r="I131" s="17">
        <v>1</v>
      </c>
      <c r="K131" s="1" t="s">
        <v>10</v>
      </c>
      <c r="L131" s="1">
        <v>43777</v>
      </c>
      <c r="M131" s="3">
        <v>1042</v>
      </c>
      <c r="N131" s="3">
        <v>714</v>
      </c>
      <c r="O131" s="3">
        <v>306</v>
      </c>
      <c r="P131" s="3">
        <v>22</v>
      </c>
      <c r="Q131" s="9">
        <f>(Table13[Terpakai]+Table13[[#This Row],[Staging]])/Table13[Qty Lokasi]</f>
        <v>0.7063339731285988</v>
      </c>
      <c r="R131" s="9">
        <f>Table13[Max]-Table13[Occupancy]</f>
        <v>0.2936660268714012</v>
      </c>
      <c r="S131" s="2">
        <v>1</v>
      </c>
      <c r="U131" s="3" t="s">
        <v>11</v>
      </c>
      <c r="V131" s="1">
        <v>43777</v>
      </c>
      <c r="W131" s="3">
        <v>456</v>
      </c>
      <c r="X131" s="3">
        <v>134</v>
      </c>
      <c r="Y131" s="3">
        <v>239</v>
      </c>
      <c r="Z131" s="3">
        <v>83</v>
      </c>
      <c r="AA131" s="9">
        <f>(Table7[Terpakai]+Table7[[#This Row],[Staging]])/Table7[Qty Lokasi]</f>
        <v>0.47587719298245612</v>
      </c>
      <c r="AB131" s="9">
        <f>Table7[Max]-Table7[Occupancy]</f>
        <v>0.52412280701754388</v>
      </c>
      <c r="AC131" s="2">
        <v>1</v>
      </c>
      <c r="AE131" s="26">
        <f>SUM(Table1[[#This Row],[Qty Lokasi]]+Table13[[#This Row],[Qty Lokasi]]+Table7[[#This Row],[Qty Lokasi]])</f>
        <v>5342</v>
      </c>
      <c r="AF131" s="26">
        <f>SUM(Table1[[#This Row],[Available]]+Table13[[#This Row],[Available]]+Table7[[#This Row],[Available]])</f>
        <v>1414</v>
      </c>
      <c r="AG131" s="27">
        <f>1-Table3[Available]/Table3[Total]</f>
        <v>0.73530512916510671</v>
      </c>
    </row>
    <row r="132" spans="1:33">
      <c r="A132" s="18" t="s">
        <v>9</v>
      </c>
      <c r="B132" s="1">
        <v>43780</v>
      </c>
      <c r="C132" s="3">
        <v>3844</v>
      </c>
      <c r="D132" s="3">
        <v>2934</v>
      </c>
      <c r="E132" s="3">
        <v>910</v>
      </c>
      <c r="F132" s="3">
        <v>0</v>
      </c>
      <c r="G132" s="9">
        <f>(Table1[Terpakai]+Table1[[#This Row],[Staging]])/Table1[Qty Lokasi]</f>
        <v>0.76326742976066597</v>
      </c>
      <c r="H132" s="9">
        <f>Table1[Max]-Table1[Occupancy]</f>
        <v>0.23673257023933403</v>
      </c>
      <c r="I132" s="17">
        <v>1</v>
      </c>
      <c r="K132" s="1" t="s">
        <v>10</v>
      </c>
      <c r="L132" s="1">
        <v>43780</v>
      </c>
      <c r="M132" s="3">
        <v>1042</v>
      </c>
      <c r="N132" s="3">
        <v>767</v>
      </c>
      <c r="O132" s="3">
        <v>275</v>
      </c>
      <c r="Q132" s="9">
        <f>(Table13[Terpakai]+Table13[[#This Row],[Staging]])/Table13[Qty Lokasi]</f>
        <v>0.73608445297504799</v>
      </c>
      <c r="R132" s="9">
        <f>Table13[Max]-Table13[Occupancy]</f>
        <v>0.26391554702495201</v>
      </c>
      <c r="S132" s="2">
        <v>1</v>
      </c>
      <c r="U132" s="3" t="s">
        <v>11</v>
      </c>
      <c r="V132" s="1">
        <v>43780</v>
      </c>
      <c r="W132" s="3">
        <v>456</v>
      </c>
      <c r="X132" s="3">
        <v>152</v>
      </c>
      <c r="Y132" s="3">
        <v>304</v>
      </c>
      <c r="Z132" s="3">
        <v>0</v>
      </c>
      <c r="AA132" s="9">
        <f>(Table7[Terpakai]+Table7[[#This Row],[Staging]])/Table7[Qty Lokasi]</f>
        <v>0.33333333333333331</v>
      </c>
      <c r="AB132" s="9">
        <f>Table7[Max]-Table7[Occupancy]</f>
        <v>0.66666666666666674</v>
      </c>
      <c r="AC132" s="2">
        <v>1</v>
      </c>
      <c r="AE132" s="3">
        <f>SUM(Table1[[#This Row],[Qty Lokasi]]+Table13[[#This Row],[Qty Lokasi]]+Table7[[#This Row],[Qty Lokasi]])</f>
        <v>5342</v>
      </c>
      <c r="AF132" s="3">
        <f>SUM(Table1[[#This Row],[Available]]+Table13[[#This Row],[Available]]+Table7[[#This Row],[Available]])</f>
        <v>1489</v>
      </c>
      <c r="AG132" s="9">
        <f>1-Table3[Available]/Table3[Total]</f>
        <v>0.7212654436540622</v>
      </c>
    </row>
    <row r="133" spans="1:33">
      <c r="A133" s="18" t="s">
        <v>9</v>
      </c>
      <c r="B133" s="1">
        <v>43781</v>
      </c>
      <c r="C133" s="3">
        <v>3844</v>
      </c>
      <c r="D133" s="3">
        <v>2937</v>
      </c>
      <c r="E133" s="3">
        <v>803</v>
      </c>
      <c r="F133" s="3">
        <v>104</v>
      </c>
      <c r="G133" s="9">
        <f>(Table1[Terpakai]+Table1[[#This Row],[Staging]])/Table1[Qty Lokasi]</f>
        <v>0.79110301768990632</v>
      </c>
      <c r="H133" s="9">
        <f>Table1[Max]-Table1[Occupancy]</f>
        <v>0.20889698231009368</v>
      </c>
      <c r="I133" s="17">
        <v>1</v>
      </c>
      <c r="K133" s="1" t="s">
        <v>10</v>
      </c>
      <c r="L133" s="1">
        <v>43781</v>
      </c>
      <c r="M133" s="3">
        <v>1042</v>
      </c>
      <c r="N133" s="3">
        <v>765</v>
      </c>
      <c r="O133" s="3">
        <v>264</v>
      </c>
      <c r="P133" s="3">
        <v>13</v>
      </c>
      <c r="Q133" s="9">
        <f>(Table13[Terpakai]+Table13[[#This Row],[Staging]])/Table13[Qty Lokasi]</f>
        <v>0.74664107485604603</v>
      </c>
      <c r="R133" s="9">
        <f>Table13[Max]-Table13[Occupancy]</f>
        <v>0.25335892514395397</v>
      </c>
      <c r="S133" s="2">
        <v>1</v>
      </c>
      <c r="U133" s="3" t="s">
        <v>11</v>
      </c>
      <c r="V133" s="1">
        <v>43781</v>
      </c>
      <c r="W133" s="3">
        <v>456</v>
      </c>
      <c r="X133" s="3">
        <v>139</v>
      </c>
      <c r="Y133" s="3">
        <v>282</v>
      </c>
      <c r="Z133" s="3">
        <v>35</v>
      </c>
      <c r="AA133" s="9">
        <f>(Table7[Terpakai]+Table7[[#This Row],[Staging]])/Table7[Qty Lokasi]</f>
        <v>0.38157894736842107</v>
      </c>
      <c r="AB133" s="9">
        <f>Table7[Max]-Table7[Occupancy]</f>
        <v>0.61842105263157898</v>
      </c>
      <c r="AC133" s="2">
        <v>1</v>
      </c>
      <c r="AE133" s="28">
        <f>SUM(Table1[[#This Row],[Qty Lokasi]]+Table13[[#This Row],[Qty Lokasi]]+Table7[[#This Row],[Qty Lokasi]])</f>
        <v>5342</v>
      </c>
      <c r="AF133" s="28">
        <f>SUM(Table1[[#This Row],[Available]]+Table13[[#This Row],[Available]]+Table7[[#This Row],[Available]])</f>
        <v>1349</v>
      </c>
      <c r="AG133" s="29">
        <f>1-Table3[Available]/Table3[Total]</f>
        <v>0.74747285660801199</v>
      </c>
    </row>
    <row r="134" spans="1:33">
      <c r="A134" s="18" t="s">
        <v>9</v>
      </c>
      <c r="B134" s="1">
        <v>43782</v>
      </c>
      <c r="C134" s="3">
        <v>3844</v>
      </c>
      <c r="D134" s="3">
        <v>2997</v>
      </c>
      <c r="E134" s="3">
        <v>755</v>
      </c>
      <c r="F134" s="3">
        <v>92</v>
      </c>
      <c r="G134" s="9">
        <f>(Table1[Terpakai]+Table1[[#This Row],[Staging]])/Table1[Qty Lokasi]</f>
        <v>0.80359001040582723</v>
      </c>
      <c r="H134" s="9">
        <f>Table1[Max]-Table1[Occupancy]</f>
        <v>0.19640998959417277</v>
      </c>
      <c r="I134" s="17">
        <v>1</v>
      </c>
      <c r="K134" s="1" t="s">
        <v>10</v>
      </c>
      <c r="L134" s="1">
        <v>43782</v>
      </c>
      <c r="M134" s="3">
        <v>1042</v>
      </c>
      <c r="N134" s="3">
        <v>709</v>
      </c>
      <c r="O134" s="3">
        <v>257</v>
      </c>
      <c r="P134" s="3">
        <v>76</v>
      </c>
      <c r="Q134" s="9">
        <f>(Table13[Terpakai]+Table13[[#This Row],[Staging]])/Table13[Qty Lokasi]</f>
        <v>0.75335892514395397</v>
      </c>
      <c r="R134" s="9">
        <f>Table13[Max]-Table13[Occupancy]</f>
        <v>0.24664107485604603</v>
      </c>
      <c r="S134" s="2">
        <v>1</v>
      </c>
      <c r="U134" s="3" t="s">
        <v>11</v>
      </c>
      <c r="V134" s="1">
        <v>43782</v>
      </c>
      <c r="W134" s="3">
        <v>456</v>
      </c>
      <c r="X134" s="3">
        <v>133</v>
      </c>
      <c r="Y134" s="3">
        <v>251</v>
      </c>
      <c r="Z134" s="3">
        <v>72</v>
      </c>
      <c r="AA134" s="9">
        <f>(Table7[Terpakai]+Table7[[#This Row],[Staging]])/Table7[Qty Lokasi]</f>
        <v>0.44956140350877194</v>
      </c>
      <c r="AB134" s="9">
        <f>Table7[Max]-Table7[Occupancy]</f>
        <v>0.55043859649122806</v>
      </c>
      <c r="AC134" s="2">
        <v>1</v>
      </c>
      <c r="AE134" s="28">
        <f>SUM(Table1[[#This Row],[Qty Lokasi]]+Table13[[#This Row],[Qty Lokasi]]+Table7[[#This Row],[Qty Lokasi]])</f>
        <v>5342</v>
      </c>
      <c r="AF134" s="28">
        <f>SUM(Table1[[#This Row],[Available]]+Table13[[#This Row],[Available]]+Table7[[#This Row],[Available]])</f>
        <v>1263</v>
      </c>
      <c r="AG134" s="29">
        <f>1-Table3[Available]/Table3[Total]</f>
        <v>0.76357169599400976</v>
      </c>
    </row>
    <row r="135" spans="1:33">
      <c r="A135" s="18" t="s">
        <v>9</v>
      </c>
      <c r="B135" s="1">
        <v>43783</v>
      </c>
      <c r="C135" s="3">
        <v>3844</v>
      </c>
      <c r="D135" s="3">
        <v>2969</v>
      </c>
      <c r="E135" s="3">
        <v>781</v>
      </c>
      <c r="F135" s="3">
        <v>94</v>
      </c>
      <c r="G135" s="9">
        <f>(Table1[Terpakai]+Table1[[#This Row],[Staging]])/Table1[Qty Lokasi]</f>
        <v>0.79682622268470349</v>
      </c>
      <c r="H135" s="9">
        <f>Table1[Max]-Table1[Occupancy]</f>
        <v>0.20317377731529651</v>
      </c>
      <c r="I135" s="17">
        <v>1</v>
      </c>
      <c r="K135" s="1" t="s">
        <v>10</v>
      </c>
      <c r="L135" s="1">
        <v>43783</v>
      </c>
      <c r="M135" s="3">
        <v>1042</v>
      </c>
      <c r="N135" s="3">
        <v>735</v>
      </c>
      <c r="O135" s="3">
        <v>284</v>
      </c>
      <c r="P135" s="3">
        <v>23</v>
      </c>
      <c r="Q135" s="9">
        <f>(Table13[Terpakai]+Table13[[#This Row],[Staging]])/Table13[Qty Lokasi]</f>
        <v>0.72744721689059499</v>
      </c>
      <c r="R135" s="9">
        <f>Table13[Max]-Table13[Occupancy]</f>
        <v>0.27255278310940501</v>
      </c>
      <c r="S135" s="2">
        <v>1</v>
      </c>
      <c r="U135" s="3" t="s">
        <v>11</v>
      </c>
      <c r="V135" s="1">
        <v>43783</v>
      </c>
      <c r="W135" s="3">
        <v>456</v>
      </c>
      <c r="X135" s="3">
        <v>119</v>
      </c>
      <c r="Y135" s="3">
        <v>240</v>
      </c>
      <c r="Z135" s="3">
        <v>97</v>
      </c>
      <c r="AA135" s="9">
        <f>(Table7[Terpakai]+Table7[[#This Row],[Staging]])/Table7[Qty Lokasi]</f>
        <v>0.47368421052631576</v>
      </c>
      <c r="AB135" s="9">
        <f>Table7[Max]-Table7[Occupancy]</f>
        <v>0.52631578947368429</v>
      </c>
      <c r="AC135" s="2">
        <v>1</v>
      </c>
      <c r="AE135" s="28">
        <f>SUM(Table1[[#This Row],[Qty Lokasi]]+Table13[[#This Row],[Qty Lokasi]]+Table7[[#This Row],[Qty Lokasi]])</f>
        <v>5342</v>
      </c>
      <c r="AF135" s="28">
        <f>SUM(Table1[[#This Row],[Available]]+Table13[[#This Row],[Available]]+Table7[[#This Row],[Available]])</f>
        <v>1305</v>
      </c>
      <c r="AG135" s="29">
        <f>1-Table3[Available]/Table3[Total]</f>
        <v>0.7557094721078248</v>
      </c>
    </row>
    <row r="136" spans="1:33">
      <c r="A136" s="18" t="s">
        <v>9</v>
      </c>
      <c r="B136" s="1">
        <v>43784</v>
      </c>
      <c r="C136" s="3">
        <v>3844</v>
      </c>
      <c r="D136" s="3">
        <v>3017</v>
      </c>
      <c r="E136" s="3">
        <v>827</v>
      </c>
      <c r="F136" s="3">
        <v>0</v>
      </c>
      <c r="G136" s="9">
        <f>(Table1[Terpakai]+Table1[[#This Row],[Staging]])/Table1[Qty Lokasi]</f>
        <v>0.78485952133194592</v>
      </c>
      <c r="H136" s="9">
        <f>Table1[Max]-Table1[Occupancy]</f>
        <v>0.21514047866805408</v>
      </c>
      <c r="I136" s="17">
        <v>1</v>
      </c>
      <c r="K136" s="1" t="s">
        <v>10</v>
      </c>
      <c r="L136" s="1">
        <v>43784</v>
      </c>
      <c r="M136" s="3">
        <v>1042</v>
      </c>
      <c r="N136" s="3">
        <v>697</v>
      </c>
      <c r="O136" s="3">
        <v>335</v>
      </c>
      <c r="P136" s="3">
        <v>10</v>
      </c>
      <c r="Q136" s="9">
        <f>(Table13[Terpakai]+Table13[[#This Row],[Staging]])/Table13[Qty Lokasi]</f>
        <v>0.67850287907869478</v>
      </c>
      <c r="R136" s="9">
        <f>Table13[Max]-Table13[Occupancy]</f>
        <v>0.32149712092130522</v>
      </c>
      <c r="S136" s="2">
        <v>1</v>
      </c>
      <c r="U136" s="3" t="s">
        <v>11</v>
      </c>
      <c r="V136" s="1">
        <v>43784</v>
      </c>
      <c r="W136" s="3">
        <v>456</v>
      </c>
      <c r="X136" s="3">
        <v>157</v>
      </c>
      <c r="Y136" s="3">
        <v>285</v>
      </c>
      <c r="Z136" s="3">
        <v>14</v>
      </c>
      <c r="AA136" s="9">
        <f>(Table7[Terpakai]+Table7[[#This Row],[Staging]])/Table7[Qty Lokasi]</f>
        <v>0.375</v>
      </c>
      <c r="AB136" s="9">
        <f>Table7[Max]-Table7[Occupancy]</f>
        <v>0.625</v>
      </c>
      <c r="AC136" s="2">
        <v>1</v>
      </c>
      <c r="AE136" s="28">
        <f>SUM(Table1[[#This Row],[Qty Lokasi]]+Table13[[#This Row],[Qty Lokasi]]+Table7[[#This Row],[Qty Lokasi]])</f>
        <v>5342</v>
      </c>
      <c r="AF136" s="28">
        <f>SUM(Table1[[#This Row],[Available]]+Table13[[#This Row],[Available]]+Table7[[#This Row],[Available]])</f>
        <v>1447</v>
      </c>
      <c r="AG136" s="29">
        <f>1-Table3[Available]/Table3[Total]</f>
        <v>0.72912766754024716</v>
      </c>
    </row>
    <row r="137" spans="1:33">
      <c r="A137" s="18" t="s">
        <v>9</v>
      </c>
      <c r="B137" s="1">
        <v>43787</v>
      </c>
      <c r="C137" s="3">
        <v>3844</v>
      </c>
      <c r="D137" s="3">
        <v>2960</v>
      </c>
      <c r="E137" s="3">
        <v>884</v>
      </c>
      <c r="F137" s="3">
        <v>0</v>
      </c>
      <c r="G137" s="9">
        <f>(Table1[Terpakai]+Table1[[#This Row],[Staging]])/Table1[Qty Lokasi]</f>
        <v>0.77003121748178982</v>
      </c>
      <c r="H137" s="9">
        <f>Table1[Max]-Table1[Occupancy]</f>
        <v>0.22996878251821018</v>
      </c>
      <c r="I137" s="17">
        <v>1</v>
      </c>
      <c r="K137" s="1" t="s">
        <v>10</v>
      </c>
      <c r="L137" s="1">
        <v>43787</v>
      </c>
      <c r="M137" s="3">
        <v>920</v>
      </c>
      <c r="N137" s="3">
        <v>719</v>
      </c>
      <c r="O137" s="3">
        <v>195</v>
      </c>
      <c r="P137" s="3">
        <v>6</v>
      </c>
      <c r="Q137" s="9">
        <f>(Table13[Terpakai]+Table13[[#This Row],[Staging]])/Table13[Qty Lokasi]</f>
        <v>0.78804347826086951</v>
      </c>
      <c r="R137" s="9">
        <f>Table13[Max]-Table13[Occupancy]</f>
        <v>0.21195652173913049</v>
      </c>
      <c r="S137" s="2">
        <v>1</v>
      </c>
      <c r="U137" s="3" t="s">
        <v>11</v>
      </c>
      <c r="V137" s="1">
        <v>43787</v>
      </c>
      <c r="W137" s="3">
        <v>456</v>
      </c>
      <c r="X137" s="3">
        <v>171</v>
      </c>
      <c r="Y137" s="3">
        <v>238</v>
      </c>
      <c r="Z137" s="3">
        <v>47</v>
      </c>
      <c r="AA137" s="9">
        <f>(Table7[Terpakai]+Table7[[#This Row],[Staging]])/Table7[Qty Lokasi]</f>
        <v>0.47807017543859648</v>
      </c>
      <c r="AB137" s="9">
        <f>Table7[Max]-Table7[Occupancy]</f>
        <v>0.52192982456140347</v>
      </c>
      <c r="AC137" s="2">
        <v>1</v>
      </c>
      <c r="AE137" s="28">
        <f>SUM(Table1[[#This Row],[Qty Lokasi]]+Table13[[#This Row],[Qty Lokasi]]+Table7[[#This Row],[Qty Lokasi]])</f>
        <v>5220</v>
      </c>
      <c r="AF137" s="28">
        <f>SUM(Table1[[#This Row],[Available]]+Table13[[#This Row],[Available]]+Table7[[#This Row],[Available]])</f>
        <v>1317</v>
      </c>
      <c r="AG137" s="29">
        <f>1-Table3[Available]/Table3[Total]</f>
        <v>0.74770114942528743</v>
      </c>
    </row>
    <row r="138" spans="1:33">
      <c r="A138" s="18" t="s">
        <v>9</v>
      </c>
      <c r="B138" s="1">
        <v>43788</v>
      </c>
      <c r="C138" s="3">
        <v>3844</v>
      </c>
      <c r="D138" s="3">
        <v>2889</v>
      </c>
      <c r="E138" s="3">
        <v>835</v>
      </c>
      <c r="F138" s="3">
        <v>120</v>
      </c>
      <c r="G138" s="9">
        <f>(Table1[Terpakai]+Table1[[#This Row],[Staging]])/Table1[Qty Lokasi]</f>
        <v>0.78277835587929245</v>
      </c>
      <c r="H138" s="9">
        <f>Table1[Max]-Table1[Occupancy]</f>
        <v>0.21722164412070755</v>
      </c>
      <c r="I138" s="17">
        <v>1</v>
      </c>
      <c r="K138" s="1" t="s">
        <v>10</v>
      </c>
      <c r="L138" s="1">
        <v>43788</v>
      </c>
      <c r="M138" s="3">
        <v>920</v>
      </c>
      <c r="N138" s="3">
        <v>643</v>
      </c>
      <c r="O138" s="3">
        <v>242</v>
      </c>
      <c r="P138" s="3">
        <v>35</v>
      </c>
      <c r="Q138" s="9">
        <f>(Table13[Terpakai]+Table13[[#This Row],[Staging]])/Table13[Qty Lokasi]</f>
        <v>0.7369565217391304</v>
      </c>
      <c r="R138" s="9">
        <f>Table13[Max]-Table13[Occupancy]</f>
        <v>0.2630434782608696</v>
      </c>
      <c r="S138" s="2">
        <v>1</v>
      </c>
      <c r="U138" s="3" t="s">
        <v>11</v>
      </c>
      <c r="V138" s="1">
        <v>43788</v>
      </c>
      <c r="W138" s="3">
        <v>456</v>
      </c>
      <c r="X138" s="3">
        <v>138</v>
      </c>
      <c r="Y138" s="3">
        <v>294</v>
      </c>
      <c r="Z138" s="3">
        <v>24</v>
      </c>
      <c r="AA138" s="9">
        <f>(Table7[Terpakai]+Table7[[#This Row],[Staging]])/Table7[Qty Lokasi]</f>
        <v>0.35526315789473684</v>
      </c>
      <c r="AB138" s="9">
        <f>Table7[Max]-Table7[Occupancy]</f>
        <v>0.64473684210526316</v>
      </c>
      <c r="AC138" s="2">
        <v>1</v>
      </c>
      <c r="AE138" s="28">
        <f>SUM(Table1[[#This Row],[Qty Lokasi]]+Table13[[#This Row],[Qty Lokasi]]+Table7[[#This Row],[Qty Lokasi]])</f>
        <v>5220</v>
      </c>
      <c r="AF138" s="28">
        <f>SUM(Table1[[#This Row],[Available]]+Table13[[#This Row],[Available]]+Table7[[#This Row],[Available]])</f>
        <v>1371</v>
      </c>
      <c r="AG138" s="29">
        <f>1-Table3[Available]/Table3[Total]</f>
        <v>0.7373563218390804</v>
      </c>
    </row>
    <row r="139" spans="1:33">
      <c r="A139" s="18" t="s">
        <v>9</v>
      </c>
      <c r="B139" s="1">
        <v>43789</v>
      </c>
      <c r="C139" s="3">
        <v>3844</v>
      </c>
      <c r="D139" s="3">
        <v>2928</v>
      </c>
      <c r="E139" s="3">
        <v>749</v>
      </c>
      <c r="F139" s="3">
        <v>167</v>
      </c>
      <c r="G139" s="9">
        <f>(Table1[Terpakai]+Table1[[#This Row],[Staging]])/Table1[Qty Lokasi]</f>
        <v>0.80515088449531735</v>
      </c>
      <c r="H139" s="9">
        <f>Table1[Max]-Table1[Occupancy]</f>
        <v>0.19484911550468265</v>
      </c>
      <c r="I139" s="17">
        <v>1</v>
      </c>
      <c r="K139" s="1" t="s">
        <v>10</v>
      </c>
      <c r="L139" s="1">
        <v>43789</v>
      </c>
      <c r="M139" s="3">
        <v>920</v>
      </c>
      <c r="N139" s="3">
        <v>586</v>
      </c>
      <c r="O139" s="3">
        <v>231</v>
      </c>
      <c r="P139" s="3">
        <v>103</v>
      </c>
      <c r="Q139" s="9">
        <f>(Table13[Terpakai]+Table13[[#This Row],[Staging]])/Table13[Qty Lokasi]</f>
        <v>0.74891304347826082</v>
      </c>
      <c r="R139" s="9">
        <f>Table13[Max]-Table13[Occupancy]</f>
        <v>0.25108695652173918</v>
      </c>
      <c r="S139" s="2">
        <v>1</v>
      </c>
      <c r="U139" s="3" t="s">
        <v>11</v>
      </c>
      <c r="V139" s="1">
        <v>43789</v>
      </c>
      <c r="W139" s="3">
        <v>456</v>
      </c>
      <c r="X139" s="3">
        <v>137</v>
      </c>
      <c r="Y139" s="3">
        <v>290</v>
      </c>
      <c r="Z139" s="3">
        <v>29</v>
      </c>
      <c r="AA139" s="9">
        <f>(Table7[Terpakai]+Table7[[#This Row],[Staging]])/Table7[Qty Lokasi]</f>
        <v>0.36403508771929827</v>
      </c>
      <c r="AB139" s="9">
        <f>Table7[Max]-Table7[Occupancy]</f>
        <v>0.63596491228070173</v>
      </c>
      <c r="AC139" s="2">
        <v>1</v>
      </c>
      <c r="AE139" s="28">
        <f>SUM(Table1[[#This Row],[Qty Lokasi]]+Table13[[#This Row],[Qty Lokasi]]+Table7[[#This Row],[Qty Lokasi]])</f>
        <v>5220</v>
      </c>
      <c r="AF139" s="28">
        <f>SUM(Table1[[#This Row],[Available]]+Table13[[#This Row],[Available]]+Table7[[#This Row],[Available]])</f>
        <v>1270</v>
      </c>
      <c r="AG139" s="29">
        <f>1-Table3[Available]/Table3[Total]</f>
        <v>0.75670498084291182</v>
      </c>
    </row>
    <row r="140" spans="1:33">
      <c r="A140" s="18" t="s">
        <v>9</v>
      </c>
      <c r="B140" s="1">
        <v>43790</v>
      </c>
      <c r="C140" s="3">
        <v>3844</v>
      </c>
      <c r="D140" s="3">
        <v>3059</v>
      </c>
      <c r="E140" s="3">
        <v>673</v>
      </c>
      <c r="F140" s="3">
        <v>112</v>
      </c>
      <c r="G140" s="9">
        <f>(Table1[Terpakai]+Table1[[#This Row],[Staging]])/Table1[Qty Lokasi]</f>
        <v>0.82492195629552545</v>
      </c>
      <c r="H140" s="9">
        <f>Table1[Max]-Table1[Occupancy]</f>
        <v>0.17507804370447455</v>
      </c>
      <c r="I140" s="17">
        <v>1</v>
      </c>
      <c r="K140" s="1" t="s">
        <v>10</v>
      </c>
      <c r="L140" s="1">
        <v>43790</v>
      </c>
      <c r="M140" s="3">
        <v>920</v>
      </c>
      <c r="N140" s="3">
        <v>659</v>
      </c>
      <c r="O140" s="3">
        <v>217</v>
      </c>
      <c r="P140" s="3">
        <v>44</v>
      </c>
      <c r="Q140" s="9">
        <f>(Table13[Terpakai]+Table13[[#This Row],[Staging]])/Table13[Qty Lokasi]</f>
        <v>0.76413043478260867</v>
      </c>
      <c r="R140" s="9">
        <f>Table13[Max]-Table13[Occupancy]</f>
        <v>0.23586956521739133</v>
      </c>
      <c r="S140" s="2">
        <v>1</v>
      </c>
      <c r="U140" s="3" t="s">
        <v>11</v>
      </c>
      <c r="V140" s="1">
        <v>43790</v>
      </c>
      <c r="W140" s="3">
        <v>456</v>
      </c>
      <c r="X140" s="3">
        <v>98</v>
      </c>
      <c r="Y140" s="3">
        <v>297</v>
      </c>
      <c r="Z140" s="3">
        <v>61</v>
      </c>
      <c r="AA140" s="9">
        <f>(Table7[Terpakai]+Table7[[#This Row],[Staging]])/Table7[Qty Lokasi]</f>
        <v>0.34868421052631576</v>
      </c>
      <c r="AB140" s="9">
        <f>Table7[Max]-Table7[Occupancy]</f>
        <v>0.65131578947368429</v>
      </c>
      <c r="AC140" s="2">
        <v>1</v>
      </c>
      <c r="AE140" s="28">
        <f>SUM(Table1[[#This Row],[Qty Lokasi]]+Table13[[#This Row],[Qty Lokasi]]+Table7[[#This Row],[Qty Lokasi]])</f>
        <v>5220</v>
      </c>
      <c r="AF140" s="28">
        <f>SUM(Table1[[#This Row],[Available]]+Table13[[#This Row],[Available]]+Table7[[#This Row],[Available]])</f>
        <v>1187</v>
      </c>
      <c r="AG140" s="29">
        <f>1-Table3[Available]/Table3[Total]</f>
        <v>0.77260536398467439</v>
      </c>
    </row>
    <row r="141" spans="1:33">
      <c r="A141" s="18" t="s">
        <v>9</v>
      </c>
      <c r="B141" s="1">
        <v>43791</v>
      </c>
      <c r="C141" s="3">
        <v>3844</v>
      </c>
      <c r="D141" s="3">
        <v>3077</v>
      </c>
      <c r="E141" s="3">
        <v>766</v>
      </c>
      <c r="F141" s="3">
        <v>1</v>
      </c>
      <c r="G141" s="9">
        <f>(Table1[Terpakai]+Table1[[#This Row],[Staging]])/Table1[Qty Lokasi]</f>
        <v>0.8007284079084287</v>
      </c>
      <c r="H141" s="9">
        <f>Table1[Max]-Table1[Occupancy]</f>
        <v>0.1992715920915713</v>
      </c>
      <c r="I141" s="17">
        <v>1</v>
      </c>
      <c r="K141" s="1" t="s">
        <v>10</v>
      </c>
      <c r="L141" s="1">
        <v>43791</v>
      </c>
      <c r="M141" s="3">
        <v>920</v>
      </c>
      <c r="N141" s="3">
        <v>718</v>
      </c>
      <c r="O141" s="3">
        <v>202</v>
      </c>
      <c r="P141" s="3">
        <v>0</v>
      </c>
      <c r="Q141" s="9">
        <f>(Table13[Terpakai]+Table13[[#This Row],[Staging]])/Table13[Qty Lokasi]</f>
        <v>0.7804347826086957</v>
      </c>
      <c r="R141" s="9">
        <f>Table13[Max]-Table13[Occupancy]</f>
        <v>0.2195652173913043</v>
      </c>
      <c r="S141" s="2">
        <v>1</v>
      </c>
      <c r="U141" s="3" t="s">
        <v>11</v>
      </c>
      <c r="V141" s="1">
        <v>43791</v>
      </c>
      <c r="W141" s="3">
        <v>456</v>
      </c>
      <c r="X141" s="3">
        <v>101</v>
      </c>
      <c r="Y141" s="3">
        <v>329</v>
      </c>
      <c r="Z141" s="3">
        <v>26</v>
      </c>
      <c r="AA141" s="9">
        <f>(Table7[Terpakai]+Table7[[#This Row],[Staging]])/Table7[Qty Lokasi]</f>
        <v>0.27850877192982454</v>
      </c>
      <c r="AB141" s="9">
        <f>Table7[Max]-Table7[Occupancy]</f>
        <v>0.72149122807017552</v>
      </c>
      <c r="AC141" s="2">
        <v>1</v>
      </c>
      <c r="AE141" s="28">
        <f>SUM(Table1[[#This Row],[Qty Lokasi]]+Table13[[#This Row],[Qty Lokasi]]+Table7[[#This Row],[Qty Lokasi]])</f>
        <v>5220</v>
      </c>
      <c r="AF141" s="28">
        <f>SUM(Table1[[#This Row],[Available]]+Table13[[#This Row],[Available]]+Table7[[#This Row],[Available]])</f>
        <v>1297</v>
      </c>
      <c r="AG141" s="29">
        <f>1-Table3[Available]/Table3[Total]</f>
        <v>0.75153256704980842</v>
      </c>
    </row>
    <row r="142" spans="1:33">
      <c r="A142" s="18" t="s">
        <v>9</v>
      </c>
      <c r="B142" s="1">
        <v>43794</v>
      </c>
      <c r="C142" s="3">
        <v>3844</v>
      </c>
      <c r="D142" s="3">
        <v>2980</v>
      </c>
      <c r="E142" s="3">
        <v>864</v>
      </c>
      <c r="F142" s="3">
        <v>0</v>
      </c>
      <c r="G142" s="9">
        <f>(Table1[Terpakai]+Table1[[#This Row],[Staging]])/Table1[Qty Lokasi]</f>
        <v>0.77523413111342354</v>
      </c>
      <c r="H142" s="9">
        <f>Table1[Max]-Table1[Occupancy]</f>
        <v>0.22476586888657646</v>
      </c>
      <c r="I142" s="17">
        <v>1</v>
      </c>
      <c r="K142" s="1" t="s">
        <v>10</v>
      </c>
      <c r="L142" s="1">
        <v>43794</v>
      </c>
      <c r="M142" s="3">
        <v>920</v>
      </c>
      <c r="N142" s="3">
        <v>694</v>
      </c>
      <c r="O142" s="3">
        <v>212</v>
      </c>
      <c r="P142" s="3">
        <v>14</v>
      </c>
      <c r="Q142" s="9">
        <f>(Table13[Terpakai]+Table13[[#This Row],[Staging]])/Table13[Qty Lokasi]</f>
        <v>0.76956521739130435</v>
      </c>
      <c r="R142" s="9">
        <f>Table13[Max]-Table13[Occupancy]</f>
        <v>0.23043478260869565</v>
      </c>
      <c r="S142" s="2">
        <v>1</v>
      </c>
      <c r="U142" s="3" t="s">
        <v>11</v>
      </c>
      <c r="V142" s="1">
        <v>43794</v>
      </c>
      <c r="W142" s="3">
        <v>456</v>
      </c>
      <c r="X142" s="3">
        <v>122</v>
      </c>
      <c r="Y142" s="3">
        <v>272</v>
      </c>
      <c r="Z142" s="3">
        <v>62</v>
      </c>
      <c r="AA142" s="9">
        <f>(Table7[Terpakai]+Table7[[#This Row],[Staging]])/Table7[Qty Lokasi]</f>
        <v>0.40350877192982454</v>
      </c>
      <c r="AB142" s="9">
        <f>Table7[Max]-Table7[Occupancy]</f>
        <v>0.59649122807017552</v>
      </c>
      <c r="AC142" s="2">
        <v>1</v>
      </c>
      <c r="AE142" s="28">
        <f>SUM(Table1[[#This Row],[Qty Lokasi]]+Table13[[#This Row],[Qty Lokasi]]+Table7[[#This Row],[Qty Lokasi]])</f>
        <v>5220</v>
      </c>
      <c r="AF142" s="28">
        <f>SUM(Table1[[#This Row],[Available]]+Table13[[#This Row],[Available]]+Table7[[#This Row],[Available]])</f>
        <v>1348</v>
      </c>
      <c r="AG142" s="29">
        <f>1-Table3[Available]/Table3[Total]</f>
        <v>0.74176245210727965</v>
      </c>
    </row>
    <row r="143" spans="1:33">
      <c r="A143" s="18" t="s">
        <v>9</v>
      </c>
      <c r="B143" s="1">
        <v>43795</v>
      </c>
      <c r="C143" s="3">
        <v>3844</v>
      </c>
      <c r="D143" s="3">
        <v>2954</v>
      </c>
      <c r="E143" s="3">
        <v>754</v>
      </c>
      <c r="F143" s="3">
        <v>136</v>
      </c>
      <c r="G143" s="9">
        <f>(Table1[Terpakai]+Table1[[#This Row],[Staging]])/Table1[Qty Lokasi]</f>
        <v>0.80385015608740895</v>
      </c>
      <c r="H143" s="9">
        <f>Table1[Max]-Table1[Occupancy]</f>
        <v>0.19614984391259105</v>
      </c>
      <c r="I143" s="17">
        <v>1</v>
      </c>
      <c r="K143" s="1" t="s">
        <v>10</v>
      </c>
      <c r="L143" s="1">
        <v>43795</v>
      </c>
      <c r="M143" s="3">
        <v>920</v>
      </c>
      <c r="N143" s="3">
        <v>667</v>
      </c>
      <c r="O143" s="3">
        <v>242</v>
      </c>
      <c r="P143" s="3">
        <v>11</v>
      </c>
      <c r="Q143" s="9">
        <f>(Table13[Terpakai]+Table13[[#This Row],[Staging]])/Table13[Qty Lokasi]</f>
        <v>0.7369565217391304</v>
      </c>
      <c r="R143" s="9">
        <f>Table13[Max]-Table13[Occupancy]</f>
        <v>0.2630434782608696</v>
      </c>
      <c r="S143" s="2">
        <v>1</v>
      </c>
      <c r="U143" s="3" t="s">
        <v>11</v>
      </c>
      <c r="V143" s="1">
        <v>43795</v>
      </c>
      <c r="W143" s="3">
        <v>456</v>
      </c>
      <c r="X143" s="3">
        <v>124</v>
      </c>
      <c r="Y143" s="3">
        <v>270</v>
      </c>
      <c r="Z143" s="3">
        <v>62</v>
      </c>
      <c r="AA143" s="9">
        <f>(Table7[Terpakai]+Table7[[#This Row],[Staging]])/Table7[Qty Lokasi]</f>
        <v>0.40789473684210525</v>
      </c>
      <c r="AB143" s="9">
        <f>Table7[Max]-Table7[Occupancy]</f>
        <v>0.59210526315789469</v>
      </c>
      <c r="AC143" s="2">
        <v>1</v>
      </c>
      <c r="AE143" s="28">
        <f>SUM(Table1[[#This Row],[Qty Lokasi]]+Table13[[#This Row],[Qty Lokasi]]+Table7[[#This Row],[Qty Lokasi]])</f>
        <v>5220</v>
      </c>
      <c r="AF143" s="28">
        <f>SUM(Table1[[#This Row],[Available]]+Table13[[#This Row],[Available]]+Table7[[#This Row],[Available]])</f>
        <v>1266</v>
      </c>
      <c r="AG143" s="29">
        <f>1-Table3[Available]/Table3[Total]</f>
        <v>0.75747126436781609</v>
      </c>
    </row>
    <row r="144" spans="1:33">
      <c r="A144" s="18" t="s">
        <v>9</v>
      </c>
      <c r="B144" s="1">
        <v>43796</v>
      </c>
      <c r="C144" s="3">
        <v>3844</v>
      </c>
      <c r="D144" s="3">
        <v>3058</v>
      </c>
      <c r="E144" s="3">
        <v>643</v>
      </c>
      <c r="F144" s="3">
        <v>143</v>
      </c>
      <c r="G144" s="9">
        <f>(Table1[Terpakai]+Table1[[#This Row],[Staging]])/Table1[Qty Lokasi]</f>
        <v>0.83272632674297609</v>
      </c>
      <c r="H144" s="9">
        <f>Table1[Max]-Table1[Occupancy]</f>
        <v>0.16727367325702391</v>
      </c>
      <c r="I144" s="17">
        <v>1</v>
      </c>
      <c r="K144" s="1" t="s">
        <v>10</v>
      </c>
      <c r="L144" s="1">
        <v>43796</v>
      </c>
      <c r="M144" s="3">
        <v>920</v>
      </c>
      <c r="N144" s="3">
        <v>595</v>
      </c>
      <c r="O144" s="3">
        <v>236</v>
      </c>
      <c r="P144" s="3">
        <v>89</v>
      </c>
      <c r="Q144" s="9">
        <f>(Table13[Terpakai]+Table13[[#This Row],[Staging]])/Table13[Qty Lokasi]</f>
        <v>0.74347826086956526</v>
      </c>
      <c r="R144" s="9">
        <f>Table13[Max]-Table13[Occupancy]</f>
        <v>0.25652173913043474</v>
      </c>
      <c r="S144" s="2">
        <v>1</v>
      </c>
      <c r="U144" s="3" t="s">
        <v>11</v>
      </c>
      <c r="V144" s="1">
        <v>43796</v>
      </c>
      <c r="W144" s="3">
        <v>456</v>
      </c>
      <c r="X144" s="3">
        <v>74</v>
      </c>
      <c r="Y144" s="3">
        <v>257</v>
      </c>
      <c r="Z144" s="3">
        <v>125</v>
      </c>
      <c r="AA144" s="9">
        <f>(Table7[Terpakai]+Table7[[#This Row],[Staging]])/Table7[Qty Lokasi]</f>
        <v>0.43640350877192985</v>
      </c>
      <c r="AB144" s="9">
        <f>Table7[Max]-Table7[Occupancy]</f>
        <v>0.56359649122807021</v>
      </c>
      <c r="AC144" s="2">
        <v>1</v>
      </c>
      <c r="AE144" s="28">
        <f>SUM(Table1[[#This Row],[Qty Lokasi]]+Table13[[#This Row],[Qty Lokasi]]+Table7[[#This Row],[Qty Lokasi]])</f>
        <v>5220</v>
      </c>
      <c r="AF144" s="28">
        <f>SUM(Table1[[#This Row],[Available]]+Table13[[#This Row],[Available]]+Table7[[#This Row],[Available]])</f>
        <v>1136</v>
      </c>
      <c r="AG144" s="29">
        <f>1-Table3[Available]/Table3[Total]</f>
        <v>0.78237547892720305</v>
      </c>
    </row>
    <row r="145" spans="1:33">
      <c r="A145" s="18" t="s">
        <v>9</v>
      </c>
      <c r="B145" s="1">
        <v>43797</v>
      </c>
      <c r="C145" s="3">
        <v>3844</v>
      </c>
      <c r="D145" s="3">
        <v>3073</v>
      </c>
      <c r="E145" s="3">
        <v>652</v>
      </c>
      <c r="F145" s="3">
        <v>119</v>
      </c>
      <c r="G145" s="9">
        <f>(Table1[Terpakai]+Table1[[#This Row],[Staging]])/Table1[Qty Lokasi]</f>
        <v>0.8303850156087409</v>
      </c>
      <c r="H145" s="9">
        <f>Table1[Max]-Table1[Occupancy]</f>
        <v>0.1696149843912591</v>
      </c>
      <c r="I145" s="17">
        <v>1</v>
      </c>
      <c r="K145" s="1" t="s">
        <v>10</v>
      </c>
      <c r="L145" s="1">
        <v>43797</v>
      </c>
      <c r="M145" s="3">
        <v>920</v>
      </c>
      <c r="N145" s="3">
        <v>571</v>
      </c>
      <c r="O145" s="3">
        <v>231</v>
      </c>
      <c r="P145" s="3">
        <v>118</v>
      </c>
      <c r="Q145" s="9">
        <f>(Table13[Terpakai]+Table13[[#This Row],[Staging]])/Table13[Qty Lokasi]</f>
        <v>0.74891304347826082</v>
      </c>
      <c r="R145" s="9">
        <f>Table13[Max]-Table13[Occupancy]</f>
        <v>0.25108695652173918</v>
      </c>
      <c r="S145" s="2">
        <v>1</v>
      </c>
      <c r="U145" s="3" t="s">
        <v>11</v>
      </c>
      <c r="V145" s="1">
        <v>43797</v>
      </c>
      <c r="W145" s="3">
        <v>456</v>
      </c>
      <c r="X145" s="3">
        <v>73</v>
      </c>
      <c r="Y145" s="3">
        <v>242</v>
      </c>
      <c r="Z145" s="3">
        <v>141</v>
      </c>
      <c r="AA145" s="9">
        <f>(Table7[Terpakai]+Table7[[#This Row],[Staging]])/Table7[Qty Lokasi]</f>
        <v>0.4692982456140351</v>
      </c>
      <c r="AB145" s="9">
        <f>Table7[Max]-Table7[Occupancy]</f>
        <v>0.5307017543859649</v>
      </c>
      <c r="AC145" s="2">
        <v>1</v>
      </c>
      <c r="AE145" s="28">
        <f>SUM(Table1[[#This Row],[Qty Lokasi]]+Table13[[#This Row],[Qty Lokasi]]+Table7[[#This Row],[Qty Lokasi]])</f>
        <v>5220</v>
      </c>
      <c r="AF145" s="28">
        <f>SUM(Table1[[#This Row],[Available]]+Table13[[#This Row],[Available]]+Table7[[#This Row],[Available]])</f>
        <v>1125</v>
      </c>
      <c r="AG145" s="29">
        <f>1-Table3[Available]/Table3[Total]</f>
        <v>0.78448275862068972</v>
      </c>
    </row>
    <row r="146" spans="1:33">
      <c r="A146" s="18" t="s">
        <v>9</v>
      </c>
      <c r="B146" s="1">
        <v>43798</v>
      </c>
      <c r="C146" s="3">
        <v>3844</v>
      </c>
      <c r="D146" s="3">
        <v>3107</v>
      </c>
      <c r="E146" s="3">
        <v>629</v>
      </c>
      <c r="F146" s="3">
        <v>108</v>
      </c>
      <c r="G146" s="9">
        <f>(Table1[Terpakai]+Table1[[#This Row],[Staging]])/Table1[Qty Lokasi]</f>
        <v>0.83636836628511968</v>
      </c>
      <c r="H146" s="9">
        <f>Table1[Max]-Table1[Occupancy]</f>
        <v>0.16363163371488032</v>
      </c>
      <c r="I146" s="17">
        <v>1</v>
      </c>
      <c r="K146" s="1" t="s">
        <v>10</v>
      </c>
      <c r="L146" s="1">
        <v>43798</v>
      </c>
      <c r="M146" s="3">
        <v>920</v>
      </c>
      <c r="N146" s="3">
        <v>702</v>
      </c>
      <c r="O146" s="3">
        <v>175</v>
      </c>
      <c r="P146" s="3">
        <v>43</v>
      </c>
      <c r="Q146" s="9">
        <f>(Table13[Terpakai]+Table13[[#This Row],[Staging]])/Table13[Qty Lokasi]</f>
        <v>0.80978260869565222</v>
      </c>
      <c r="R146" s="9">
        <f>Table13[Max]-Table13[Occupancy]</f>
        <v>0.19021739130434778</v>
      </c>
      <c r="S146" s="2">
        <v>1</v>
      </c>
      <c r="U146" s="3" t="s">
        <v>11</v>
      </c>
      <c r="V146" s="1">
        <v>43798</v>
      </c>
      <c r="W146" s="3">
        <v>456</v>
      </c>
      <c r="X146" s="3">
        <v>108</v>
      </c>
      <c r="Y146" s="3">
        <v>252</v>
      </c>
      <c r="Z146" s="3">
        <v>96</v>
      </c>
      <c r="AA146" s="9">
        <f>(Table7[Terpakai]+Table7[[#This Row],[Staging]])/Table7[Qty Lokasi]</f>
        <v>0.44736842105263158</v>
      </c>
      <c r="AB146" s="9">
        <f>Table7[Max]-Table7[Occupancy]</f>
        <v>0.55263157894736836</v>
      </c>
      <c r="AC146" s="2">
        <v>1</v>
      </c>
      <c r="AE146" s="28">
        <f>SUM(Table1[[#This Row],[Qty Lokasi]]+Table13[[#This Row],[Qty Lokasi]]+Table7[[#This Row],[Qty Lokasi]])</f>
        <v>5220</v>
      </c>
      <c r="AF146" s="28">
        <f>SUM(Table1[[#This Row],[Available]]+Table13[[#This Row],[Available]]+Table7[[#This Row],[Available]])</f>
        <v>1056</v>
      </c>
      <c r="AG146" s="29">
        <f>1-Table3[Available]/Table3[Total]</f>
        <v>0.79770114942528736</v>
      </c>
    </row>
    <row r="147" spans="1:33">
      <c r="A147" s="18" t="s">
        <v>9</v>
      </c>
      <c r="B147" s="1">
        <v>43801</v>
      </c>
      <c r="C147" s="3">
        <v>3844</v>
      </c>
      <c r="D147" s="3">
        <v>3140</v>
      </c>
      <c r="E147" s="3">
        <v>667</v>
      </c>
      <c r="F147" s="3">
        <v>37</v>
      </c>
      <c r="G147" s="9">
        <f>(Table1[Terpakai]+Table1[[#This Row],[Staging]])/Table1[Qty Lokasi]</f>
        <v>0.82648283038501558</v>
      </c>
      <c r="H147" s="9">
        <f>Table1[Max]-Table1[Occupancy]</f>
        <v>0.17351716961498442</v>
      </c>
      <c r="I147" s="17">
        <v>1</v>
      </c>
      <c r="K147" s="1" t="s">
        <v>10</v>
      </c>
      <c r="L147" s="1">
        <v>43801</v>
      </c>
      <c r="M147" s="3">
        <v>920</v>
      </c>
      <c r="N147" s="3">
        <v>727</v>
      </c>
      <c r="O147" s="3">
        <v>149</v>
      </c>
      <c r="P147" s="3">
        <v>44</v>
      </c>
      <c r="Q147" s="9">
        <f>(Table13[Terpakai]+Table13[[#This Row],[Staging]])/Table13[Qty Lokasi]</f>
        <v>0.83804347826086956</v>
      </c>
      <c r="R147" s="9">
        <f>Table13[Max]-Table13[Occupancy]</f>
        <v>0.16195652173913044</v>
      </c>
      <c r="S147" s="2">
        <v>1</v>
      </c>
      <c r="U147" s="3" t="s">
        <v>11</v>
      </c>
      <c r="V147" s="1">
        <v>43801</v>
      </c>
      <c r="W147" s="3">
        <v>456</v>
      </c>
      <c r="X147" s="3">
        <v>138</v>
      </c>
      <c r="Y147" s="3">
        <v>225</v>
      </c>
      <c r="Z147" s="3">
        <v>93</v>
      </c>
      <c r="AA147" s="9">
        <f>(Table7[Terpakai]+Table7[[#This Row],[Staging]])/Table7[Qty Lokasi]</f>
        <v>0.50657894736842102</v>
      </c>
      <c r="AB147" s="9">
        <f>Table7[Max]-Table7[Occupancy]</f>
        <v>0.49342105263157898</v>
      </c>
      <c r="AC147" s="2">
        <v>1</v>
      </c>
      <c r="AE147" s="28">
        <f>SUM(Table1[[#This Row],[Qty Lokasi]]+Table13[[#This Row],[Qty Lokasi]]+Table7[[#This Row],[Qty Lokasi]])</f>
        <v>5220</v>
      </c>
      <c r="AF147" s="28">
        <f>SUM(Table1[[#This Row],[Available]]+Table13[[#This Row],[Available]]+Table7[[#This Row],[Available]])</f>
        <v>1041</v>
      </c>
      <c r="AG147" s="29">
        <f>1-Table3[Available]/Table3[Total]</f>
        <v>0.80057471264367819</v>
      </c>
    </row>
    <row r="148" spans="1:33">
      <c r="A148" s="18" t="s">
        <v>9</v>
      </c>
      <c r="B148" s="1">
        <v>43802</v>
      </c>
      <c r="C148" s="3">
        <v>3514</v>
      </c>
      <c r="D148" s="3">
        <v>2934</v>
      </c>
      <c r="E148" s="3">
        <v>511</v>
      </c>
      <c r="F148" s="3">
        <v>69</v>
      </c>
      <c r="G148" s="9">
        <f>(Table1[Terpakai]+Table1[[#This Row],[Staging]])/Table1[Qty Lokasi]</f>
        <v>0.85458167330677293</v>
      </c>
      <c r="H148" s="9">
        <f>Table1[Max]-Table1[Occupancy]</f>
        <v>0.14541832669322707</v>
      </c>
      <c r="I148" s="17">
        <v>1</v>
      </c>
      <c r="K148" s="1" t="s">
        <v>10</v>
      </c>
      <c r="L148" s="1">
        <v>43802</v>
      </c>
      <c r="M148" s="3">
        <v>920</v>
      </c>
      <c r="N148" s="3">
        <v>771</v>
      </c>
      <c r="O148" s="3">
        <v>112</v>
      </c>
      <c r="P148" s="3">
        <v>37</v>
      </c>
      <c r="Q148" s="9">
        <f>(Table13[Terpakai]+Table13[[#This Row],[Staging]])/Table13[Qty Lokasi]</f>
        <v>0.87826086956521743</v>
      </c>
      <c r="R148" s="9">
        <f>Table13[Max]-Table13[Occupancy]</f>
        <v>0.12173913043478257</v>
      </c>
      <c r="S148" s="2">
        <v>1</v>
      </c>
      <c r="U148" s="3" t="s">
        <v>11</v>
      </c>
      <c r="V148" s="1">
        <v>43802</v>
      </c>
      <c r="W148" s="3">
        <v>456</v>
      </c>
      <c r="X148" s="3">
        <v>200</v>
      </c>
      <c r="Y148" s="3">
        <v>193</v>
      </c>
      <c r="Z148" s="3">
        <v>63</v>
      </c>
      <c r="AA148" s="9">
        <f>(Table7[Terpakai]+Table7[[#This Row],[Staging]])/Table7[Qty Lokasi]</f>
        <v>0.57675438596491224</v>
      </c>
      <c r="AB148" s="9">
        <f>Table7[Max]-Table7[Occupancy]</f>
        <v>0.42324561403508776</v>
      </c>
      <c r="AC148" s="2">
        <v>1</v>
      </c>
      <c r="AE148" s="28">
        <f>SUM(Table1[[#This Row],[Qty Lokasi]]+Table13[[#This Row],[Qty Lokasi]]+Table7[[#This Row],[Qty Lokasi]])</f>
        <v>4890</v>
      </c>
      <c r="AF148" s="28">
        <f>SUM(Table1[[#This Row],[Available]]+Table13[[#This Row],[Available]]+Table7[[#This Row],[Available]])</f>
        <v>816</v>
      </c>
      <c r="AG148" s="29">
        <f>1-Table3[Available]/Table3[Total]</f>
        <v>0.83312883435582819</v>
      </c>
    </row>
    <row r="149" spans="1:33">
      <c r="A149" s="18" t="s">
        <v>9</v>
      </c>
      <c r="B149" s="1">
        <v>43803</v>
      </c>
      <c r="C149" s="3">
        <v>3564</v>
      </c>
      <c r="D149" s="3">
        <v>2948</v>
      </c>
      <c r="E149" s="3">
        <v>616</v>
      </c>
      <c r="F149" s="3">
        <v>0</v>
      </c>
      <c r="G149" s="9">
        <f>(Table1[Terpakai]+Table1[[#This Row],[Staging]])/Table1[Qty Lokasi]</f>
        <v>0.8271604938271605</v>
      </c>
      <c r="H149" s="9">
        <f>Table1[Max]-Table1[Occupancy]</f>
        <v>0.1728395061728395</v>
      </c>
      <c r="I149" s="17">
        <v>1</v>
      </c>
      <c r="K149" s="1" t="s">
        <v>10</v>
      </c>
      <c r="L149" s="1">
        <v>43803</v>
      </c>
      <c r="M149" s="3">
        <v>890</v>
      </c>
      <c r="N149" s="3">
        <v>809</v>
      </c>
      <c r="O149" s="3">
        <v>81</v>
      </c>
      <c r="Q149" s="9">
        <f>(Table13[Terpakai]+Table13[[#This Row],[Staging]])/Table13[Qty Lokasi]</f>
        <v>0.90898876404494378</v>
      </c>
      <c r="R149" s="9">
        <f>Table13[Max]-Table13[Occupancy]</f>
        <v>9.1011235955056224E-2</v>
      </c>
      <c r="S149" s="2">
        <v>1</v>
      </c>
      <c r="U149" s="3" t="s">
        <v>11</v>
      </c>
      <c r="V149" s="1">
        <v>43803</v>
      </c>
      <c r="W149" s="3">
        <v>456</v>
      </c>
      <c r="X149" s="3">
        <v>218</v>
      </c>
      <c r="Y149" s="3">
        <v>238</v>
      </c>
      <c r="Z149" s="3">
        <v>0</v>
      </c>
      <c r="AA149" s="9">
        <f>(Table7[Terpakai]+Table7[[#This Row],[Staging]])/Table7[Qty Lokasi]</f>
        <v>0.47807017543859648</v>
      </c>
      <c r="AB149" s="9">
        <f>Table7[Max]-Table7[Occupancy]</f>
        <v>0.52192982456140347</v>
      </c>
      <c r="AC149" s="2">
        <v>1</v>
      </c>
      <c r="AE149" s="28">
        <f>SUM(Table1[[#This Row],[Qty Lokasi]]+Table13[[#This Row],[Qty Lokasi]]+Table7[[#This Row],[Qty Lokasi]])</f>
        <v>4910</v>
      </c>
      <c r="AF149" s="28">
        <f>SUM(Table1[[#This Row],[Available]]+Table13[[#This Row],[Available]]+Table7[[#This Row],[Available]])</f>
        <v>935</v>
      </c>
      <c r="AG149" s="29">
        <f>1-Table3[Available]/Table3[Total]</f>
        <v>0.80957230142566194</v>
      </c>
    </row>
    <row r="150" spans="1:33">
      <c r="A150" s="18" t="s">
        <v>9</v>
      </c>
      <c r="B150" s="1">
        <v>43804</v>
      </c>
      <c r="C150" s="3">
        <v>3564</v>
      </c>
      <c r="D150" s="3">
        <v>2914</v>
      </c>
      <c r="E150" s="3">
        <v>650</v>
      </c>
      <c r="F150" s="3">
        <v>0</v>
      </c>
      <c r="G150" s="9">
        <f>(Table1[Terpakai]+Table1[[#This Row],[Staging]])/Table1[Qty Lokasi]</f>
        <v>0.81762065095398428</v>
      </c>
      <c r="H150" s="9">
        <f>Table1[Max]-Table1[Occupancy]</f>
        <v>0.18237934904601572</v>
      </c>
      <c r="I150" s="17">
        <v>1</v>
      </c>
      <c r="K150" s="1" t="s">
        <v>10</v>
      </c>
      <c r="L150" s="1">
        <v>43804</v>
      </c>
      <c r="M150" s="3">
        <v>890</v>
      </c>
      <c r="N150" s="3">
        <v>759</v>
      </c>
      <c r="O150" s="3">
        <v>131</v>
      </c>
      <c r="P150" s="3">
        <v>0</v>
      </c>
      <c r="Q150" s="9">
        <f>(Table13[Terpakai]+Table13[[#This Row],[Staging]])/Table13[Qty Lokasi]</f>
        <v>0.85280898876404498</v>
      </c>
      <c r="R150" s="9">
        <f>Table13[Max]-Table13[Occupancy]</f>
        <v>0.14719101123595502</v>
      </c>
      <c r="S150" s="2">
        <v>1</v>
      </c>
      <c r="U150" s="3" t="s">
        <v>11</v>
      </c>
      <c r="V150" s="1">
        <v>43804</v>
      </c>
      <c r="W150" s="3">
        <v>456</v>
      </c>
      <c r="X150" s="3">
        <v>241</v>
      </c>
      <c r="Y150" s="3">
        <v>189</v>
      </c>
      <c r="Z150" s="3">
        <v>26</v>
      </c>
      <c r="AA150" s="9">
        <f>(Table7[Terpakai]+Table7[[#This Row],[Staging]])/Table7[Qty Lokasi]</f>
        <v>0.58552631578947367</v>
      </c>
      <c r="AB150" s="9">
        <f>Table7[Max]-Table7[Occupancy]</f>
        <v>0.41447368421052633</v>
      </c>
      <c r="AC150" s="2">
        <v>1</v>
      </c>
      <c r="AE150" s="28">
        <f>SUM(Table1[[#This Row],[Qty Lokasi]]+Table13[[#This Row],[Qty Lokasi]]+Table7[[#This Row],[Qty Lokasi]])</f>
        <v>4910</v>
      </c>
      <c r="AF150" s="28">
        <f>SUM(Table1[[#This Row],[Available]]+Table13[[#This Row],[Available]]+Table7[[#This Row],[Available]])</f>
        <v>970</v>
      </c>
      <c r="AG150" s="29">
        <f>1-Table3[Available]/Table3[Total]</f>
        <v>0.80244399185336046</v>
      </c>
    </row>
    <row r="151" spans="1:33">
      <c r="A151" s="18" t="s">
        <v>9</v>
      </c>
      <c r="B151" s="1">
        <v>43805</v>
      </c>
      <c r="C151" s="3">
        <v>3564</v>
      </c>
      <c r="D151" s="3">
        <v>2875</v>
      </c>
      <c r="E151" s="3">
        <v>685</v>
      </c>
      <c r="F151" s="3">
        <v>4</v>
      </c>
      <c r="G151" s="9">
        <f>(Table1[Terpakai]+Table1[[#This Row],[Staging]])/Table1[Qty Lokasi]</f>
        <v>0.80780022446689115</v>
      </c>
      <c r="H151" s="9">
        <f>Table1[Max]-Table1[Occupancy]</f>
        <v>0.19219977553310885</v>
      </c>
      <c r="I151" s="17">
        <v>1</v>
      </c>
      <c r="K151" s="1" t="s">
        <v>10</v>
      </c>
      <c r="L151" s="1">
        <v>43805</v>
      </c>
      <c r="M151" s="3">
        <v>890</v>
      </c>
      <c r="N151" s="3">
        <v>735</v>
      </c>
      <c r="O151" s="3">
        <v>150</v>
      </c>
      <c r="P151" s="3">
        <v>5</v>
      </c>
      <c r="Q151" s="9">
        <f>(Table13[Terpakai]+Table13[[#This Row],[Staging]])/Table13[Qty Lokasi]</f>
        <v>0.8314606741573034</v>
      </c>
      <c r="R151" s="9">
        <f>Table13[Max]-Table13[Occupancy]</f>
        <v>0.1685393258426966</v>
      </c>
      <c r="S151" s="2">
        <v>1</v>
      </c>
      <c r="U151" s="3" t="s">
        <v>11</v>
      </c>
      <c r="V151" s="1">
        <v>43805</v>
      </c>
      <c r="W151" s="3">
        <v>456</v>
      </c>
      <c r="X151" s="3">
        <v>216</v>
      </c>
      <c r="Y151" s="3">
        <v>230</v>
      </c>
      <c r="Z151" s="3">
        <v>10</v>
      </c>
      <c r="AA151" s="9">
        <f>(Table7[Terpakai]+Table7[[#This Row],[Staging]])/Table7[Qty Lokasi]</f>
        <v>0.49561403508771928</v>
      </c>
      <c r="AB151" s="9">
        <f>Table7[Max]-Table7[Occupancy]</f>
        <v>0.50438596491228072</v>
      </c>
      <c r="AC151" s="2">
        <v>1</v>
      </c>
      <c r="AE151" s="28">
        <f>SUM(Table1[[#This Row],[Qty Lokasi]]+Table13[[#This Row],[Qty Lokasi]]+Table7[[#This Row],[Qty Lokasi]])</f>
        <v>4910</v>
      </c>
      <c r="AF151" s="28">
        <f>SUM(Table1[[#This Row],[Available]]+Table13[[#This Row],[Available]]+Table7[[#This Row],[Available]])</f>
        <v>1065</v>
      </c>
      <c r="AG151" s="29">
        <f>1-Table3[Available]/Table3[Total]</f>
        <v>0.78309572301425656</v>
      </c>
    </row>
    <row r="152" spans="1:33">
      <c r="A152" s="18" t="s">
        <v>9</v>
      </c>
      <c r="B152" s="1">
        <v>43808</v>
      </c>
      <c r="C152" s="3">
        <v>3564</v>
      </c>
      <c r="D152" s="3">
        <v>2804</v>
      </c>
      <c r="E152" s="3">
        <v>760</v>
      </c>
      <c r="F152" s="3">
        <v>0</v>
      </c>
      <c r="G152" s="9">
        <f>(Table1[Terpakai]+Table1[[#This Row],[Staging]])/Table1[Qty Lokasi]</f>
        <v>0.78675645342312006</v>
      </c>
      <c r="H152" s="9">
        <f>Table1[Max]-Table1[Occupancy]</f>
        <v>0.21324354657687994</v>
      </c>
      <c r="I152" s="17">
        <v>1</v>
      </c>
      <c r="K152" s="1" t="s">
        <v>10</v>
      </c>
      <c r="L152" s="1">
        <v>43808</v>
      </c>
      <c r="M152" s="3">
        <v>828</v>
      </c>
      <c r="N152" s="3">
        <v>555</v>
      </c>
      <c r="O152" s="3">
        <v>253</v>
      </c>
      <c r="P152" s="3">
        <v>20</v>
      </c>
      <c r="Q152" s="9">
        <f>(Table13[Terpakai]+Table13[[#This Row],[Staging]])/Table13[Qty Lokasi]</f>
        <v>0.69444444444444442</v>
      </c>
      <c r="R152" s="9">
        <f>Table13[Max]-Table13[Occupancy]</f>
        <v>0.30555555555555558</v>
      </c>
      <c r="S152" s="2">
        <v>1</v>
      </c>
      <c r="U152" s="3" t="s">
        <v>11</v>
      </c>
      <c r="V152" s="1">
        <v>43808</v>
      </c>
      <c r="W152" s="3">
        <v>456</v>
      </c>
      <c r="X152" s="3">
        <v>340</v>
      </c>
      <c r="Y152" s="3">
        <v>85</v>
      </c>
      <c r="Z152" s="3">
        <v>31</v>
      </c>
      <c r="AA152" s="9">
        <f>(Table7[Terpakai]+Table7[[#This Row],[Staging]])/Table7[Qty Lokasi]</f>
        <v>0.81359649122807021</v>
      </c>
      <c r="AB152" s="9">
        <f>Table7[Max]-Table7[Occupancy]</f>
        <v>0.18640350877192979</v>
      </c>
      <c r="AC152" s="2">
        <v>1</v>
      </c>
      <c r="AE152" s="28">
        <f>SUM(Table1[[#This Row],[Qty Lokasi]]+Table13[[#This Row],[Qty Lokasi]]+Table7[[#This Row],[Qty Lokasi]])</f>
        <v>4848</v>
      </c>
      <c r="AF152" s="28">
        <f>SUM(Table1[[#This Row],[Available]]+Table13[[#This Row],[Available]]+Table7[[#This Row],[Available]])</f>
        <v>1098</v>
      </c>
      <c r="AG152" s="29">
        <f>1-Table3[Available]/Table3[Total]</f>
        <v>0.77351485148514854</v>
      </c>
    </row>
    <row r="153" spans="1:33">
      <c r="A153" s="18" t="s">
        <v>9</v>
      </c>
      <c r="B153" s="1">
        <v>43809</v>
      </c>
      <c r="C153" s="3">
        <v>3564</v>
      </c>
      <c r="D153" s="3">
        <v>2945</v>
      </c>
      <c r="E153" s="3">
        <v>518</v>
      </c>
      <c r="F153" s="3">
        <v>101</v>
      </c>
      <c r="G153" s="9">
        <f>(Table1[Terpakai]+Table1[[#This Row],[Staging]])/Table1[Qty Lokasi]</f>
        <v>0.85465768799102138</v>
      </c>
      <c r="H153" s="9">
        <f>Table1[Max]-Table1[Occupancy]</f>
        <v>0.14534231200897862</v>
      </c>
      <c r="I153" s="17">
        <v>1</v>
      </c>
      <c r="K153" s="1" t="s">
        <v>10</v>
      </c>
      <c r="L153" s="1">
        <v>43809</v>
      </c>
      <c r="M153" s="3">
        <v>828</v>
      </c>
      <c r="N153" s="3">
        <v>538</v>
      </c>
      <c r="O153" s="3">
        <v>257</v>
      </c>
      <c r="P153" s="3">
        <v>33</v>
      </c>
      <c r="Q153" s="9">
        <f>(Table13[Terpakai]+Table13[[#This Row],[Staging]])/Table13[Qty Lokasi]</f>
        <v>0.68961352657004826</v>
      </c>
      <c r="R153" s="9">
        <f>Table13[Max]-Table13[Occupancy]</f>
        <v>0.31038647342995174</v>
      </c>
      <c r="S153" s="2">
        <v>1</v>
      </c>
      <c r="U153" s="3" t="s">
        <v>11</v>
      </c>
      <c r="V153" s="1">
        <v>43809</v>
      </c>
      <c r="W153" s="3">
        <v>456</v>
      </c>
      <c r="X153" s="3">
        <v>316</v>
      </c>
      <c r="Y153" s="3">
        <v>82</v>
      </c>
      <c r="Z153" s="3">
        <v>58</v>
      </c>
      <c r="AA153" s="9">
        <f>(Table7[Terpakai]+Table7[[#This Row],[Staging]])/Table7[Qty Lokasi]</f>
        <v>0.82017543859649122</v>
      </c>
      <c r="AB153" s="9">
        <f>Table7[Max]-Table7[Occupancy]</f>
        <v>0.17982456140350878</v>
      </c>
      <c r="AC153" s="2">
        <v>1</v>
      </c>
      <c r="AE153" s="28">
        <f>SUM(Table1[[#This Row],[Qty Lokasi]]+Table13[[#This Row],[Qty Lokasi]]+Table7[[#This Row],[Qty Lokasi]])</f>
        <v>4848</v>
      </c>
      <c r="AF153" s="28">
        <f>SUM(Table1[[#This Row],[Available]]+Table13[[#This Row],[Available]]+Table7[[#This Row],[Available]])</f>
        <v>857</v>
      </c>
      <c r="AG153" s="29">
        <f>1-Table3[Available]/Table3[Total]</f>
        <v>0.82322607260726066</v>
      </c>
    </row>
    <row r="154" spans="1:33">
      <c r="A154" s="18" t="s">
        <v>9</v>
      </c>
      <c r="B154" s="1">
        <v>43810</v>
      </c>
      <c r="C154" s="3">
        <v>3910</v>
      </c>
      <c r="D154" s="3">
        <v>3080</v>
      </c>
      <c r="E154" s="3">
        <v>827</v>
      </c>
      <c r="F154" s="3">
        <v>3</v>
      </c>
      <c r="G154" s="9">
        <f>(Table1[Terpakai]+Table1[[#This Row],[Staging]])/Table1[Qty Lokasi]</f>
        <v>0.7884910485933504</v>
      </c>
      <c r="H154" s="9">
        <f>Table1[Max]-Table1[Occupancy]</f>
        <v>0.2115089514066496</v>
      </c>
      <c r="I154" s="17">
        <v>1</v>
      </c>
      <c r="K154" s="1" t="s">
        <v>10</v>
      </c>
      <c r="L154" s="1">
        <v>43810</v>
      </c>
      <c r="M154" s="3">
        <v>828</v>
      </c>
      <c r="N154" s="3">
        <v>572</v>
      </c>
      <c r="O154" s="3">
        <v>226</v>
      </c>
      <c r="P154" s="3">
        <v>30</v>
      </c>
      <c r="Q154" s="9">
        <f>(Table13[Terpakai]+Table13[[#This Row],[Staging]])/Table13[Qty Lokasi]</f>
        <v>0.72705314009661837</v>
      </c>
      <c r="R154" s="9">
        <f>Table13[Max]-Table13[Occupancy]</f>
        <v>0.27294685990338163</v>
      </c>
      <c r="S154" s="2">
        <v>1</v>
      </c>
      <c r="U154" s="3" t="s">
        <v>11</v>
      </c>
      <c r="V154" s="1">
        <v>43810</v>
      </c>
      <c r="W154" s="3">
        <v>456</v>
      </c>
      <c r="X154" s="3">
        <v>340</v>
      </c>
      <c r="Y154" s="3">
        <v>78</v>
      </c>
      <c r="Z154" s="3">
        <v>38</v>
      </c>
      <c r="AA154" s="9">
        <f>(Table7[Terpakai]+Table7[[#This Row],[Staging]])/Table7[Qty Lokasi]</f>
        <v>0.82894736842105265</v>
      </c>
      <c r="AB154" s="9">
        <f>Table7[Max]-Table7[Occupancy]</f>
        <v>0.17105263157894735</v>
      </c>
      <c r="AC154" s="2">
        <v>1</v>
      </c>
      <c r="AE154" s="28">
        <f>SUM(Table1[[#This Row],[Qty Lokasi]]+Table13[[#This Row],[Qty Lokasi]]+Table7[[#This Row],[Qty Lokasi]])</f>
        <v>5194</v>
      </c>
      <c r="AF154" s="28">
        <f>SUM(Table1[[#This Row],[Available]]+Table13[[#This Row],[Available]]+Table7[[#This Row],[Available]])</f>
        <v>1131</v>
      </c>
      <c r="AG154" s="29">
        <f>1-Table3[Available]/Table3[Total]</f>
        <v>0.78224874855602622</v>
      </c>
    </row>
    <row r="155" spans="1:33">
      <c r="A155" s="18" t="s">
        <v>9</v>
      </c>
      <c r="B155" s="1">
        <v>43811</v>
      </c>
      <c r="C155" s="3">
        <v>3910</v>
      </c>
      <c r="D155" s="3">
        <v>3203</v>
      </c>
      <c r="E155" s="3">
        <v>605</v>
      </c>
      <c r="F155" s="3">
        <v>102</v>
      </c>
      <c r="G155" s="9">
        <f>(Table1[Terpakai]+Table1[[#This Row],[Staging]])/Table1[Qty Lokasi]</f>
        <v>0.84526854219948844</v>
      </c>
      <c r="H155" s="9">
        <f>Table1[Max]-Table1[Occupancy]</f>
        <v>0.15473145780051156</v>
      </c>
      <c r="I155" s="17">
        <v>1</v>
      </c>
      <c r="K155" s="1" t="s">
        <v>10</v>
      </c>
      <c r="L155" s="1">
        <v>43811</v>
      </c>
      <c r="M155" s="3">
        <v>832</v>
      </c>
      <c r="N155" s="3">
        <v>640</v>
      </c>
      <c r="O155" s="3">
        <v>133</v>
      </c>
      <c r="P155" s="3">
        <v>59</v>
      </c>
      <c r="Q155" s="9">
        <f>(Table13[Terpakai]+Table13[[#This Row],[Staging]])/Table13[Qty Lokasi]</f>
        <v>0.84014423076923073</v>
      </c>
      <c r="R155" s="9">
        <f>Table13[Max]-Table13[Occupancy]</f>
        <v>0.15985576923076927</v>
      </c>
      <c r="S155" s="2">
        <v>1</v>
      </c>
      <c r="U155" s="3" t="s">
        <v>11</v>
      </c>
      <c r="V155" s="1">
        <v>43811</v>
      </c>
      <c r="W155" s="3">
        <v>456</v>
      </c>
      <c r="X155" s="3">
        <v>342</v>
      </c>
      <c r="Y155" s="3">
        <v>82</v>
      </c>
      <c r="Z155" s="3">
        <v>32</v>
      </c>
      <c r="AA155" s="9">
        <f>(Table7[Terpakai]+Table7[[#This Row],[Staging]])/Table7[Qty Lokasi]</f>
        <v>0.82017543859649122</v>
      </c>
      <c r="AB155" s="9">
        <f>Table7[Max]-Table7[Occupancy]</f>
        <v>0.17982456140350878</v>
      </c>
      <c r="AC155" s="2">
        <v>1</v>
      </c>
      <c r="AE155" s="28">
        <f>SUM(Table1[[#This Row],[Qty Lokasi]]+Table13[[#This Row],[Qty Lokasi]]+Table7[[#This Row],[Qty Lokasi]])</f>
        <v>5198</v>
      </c>
      <c r="AF155" s="28">
        <f>SUM(Table1[[#This Row],[Available]]+Table13[[#This Row],[Available]]+Table7[[#This Row],[Available]])</f>
        <v>820</v>
      </c>
      <c r="AG155" s="29">
        <f>1-Table3[Available]/Table3[Total]</f>
        <v>0.84224701808387836</v>
      </c>
    </row>
    <row r="156" spans="1:33">
      <c r="A156" s="18" t="s">
        <v>9</v>
      </c>
      <c r="B156" s="1">
        <v>43812</v>
      </c>
      <c r="C156" s="3">
        <v>3910</v>
      </c>
      <c r="D156" s="3">
        <v>3368</v>
      </c>
      <c r="E156" s="3">
        <v>461</v>
      </c>
      <c r="F156" s="3">
        <v>81</v>
      </c>
      <c r="G156" s="9">
        <f>(Table1[Terpakai]+Table1[[#This Row],[Staging]])/Table1[Qty Lokasi]</f>
        <v>0.88209718670076731</v>
      </c>
      <c r="H156" s="9">
        <f>Table1[Max]-Table1[Occupancy]</f>
        <v>0.11790281329923269</v>
      </c>
      <c r="I156" s="17">
        <v>1</v>
      </c>
      <c r="K156" s="1" t="s">
        <v>10</v>
      </c>
      <c r="L156" s="1">
        <v>43812</v>
      </c>
      <c r="M156" s="3">
        <v>832</v>
      </c>
      <c r="N156" s="3">
        <v>684</v>
      </c>
      <c r="O156" s="3">
        <v>106</v>
      </c>
      <c r="P156" s="3">
        <v>53</v>
      </c>
      <c r="Q156" s="9">
        <f>(Table13[Terpakai]+Table13[[#This Row],[Staging]])/Table13[Qty Lokasi]</f>
        <v>0.88581730769230771</v>
      </c>
      <c r="R156" s="9">
        <f>Table13[Max]-Table13[Occupancy]</f>
        <v>0.11418269230769229</v>
      </c>
      <c r="S156" s="2">
        <v>1</v>
      </c>
      <c r="U156" s="3" t="s">
        <v>11</v>
      </c>
      <c r="V156" s="1">
        <v>43812</v>
      </c>
      <c r="W156" s="3">
        <v>456</v>
      </c>
      <c r="X156" s="3">
        <v>304</v>
      </c>
      <c r="Y156" s="3">
        <v>108</v>
      </c>
      <c r="Z156" s="3">
        <v>44</v>
      </c>
      <c r="AA156" s="9">
        <f>(Table7[Terpakai]+Table7[[#This Row],[Staging]])/Table7[Qty Lokasi]</f>
        <v>0.76315789473684215</v>
      </c>
      <c r="AB156" s="9">
        <f>Table7[Max]-Table7[Occupancy]</f>
        <v>0.23684210526315785</v>
      </c>
      <c r="AC156" s="2">
        <v>1</v>
      </c>
      <c r="AE156" s="3">
        <f>SUM(Table1[[#This Row],[Qty Lokasi]]+Table13[[#This Row],[Qty Lokasi]]+Table7[[#This Row],[Qty Lokasi]])</f>
        <v>5198</v>
      </c>
      <c r="AF156" s="3">
        <f>SUM(Table1[[#This Row],[Available]]+Table13[[#This Row],[Available]]+Table7[[#This Row],[Available]])</f>
        <v>675</v>
      </c>
      <c r="AG156" s="9">
        <f>1-Table3[Available]/Table3[Total]</f>
        <v>0.87014236244709497</v>
      </c>
    </row>
    <row r="157" spans="1:33">
      <c r="A157" s="18" t="s">
        <v>9</v>
      </c>
      <c r="B157" s="1">
        <v>43815</v>
      </c>
      <c r="C157" s="3">
        <v>3910</v>
      </c>
      <c r="D157" s="3">
        <v>3427</v>
      </c>
      <c r="E157" s="3">
        <v>483</v>
      </c>
      <c r="F157" s="3">
        <v>0</v>
      </c>
      <c r="G157" s="9">
        <f>(Table1[Terpakai]+Table1[[#This Row],[Staging]])/Table1[Qty Lokasi]</f>
        <v>0.87647058823529411</v>
      </c>
      <c r="H157" s="9">
        <f>Table1[Max]-Table1[Occupancy]</f>
        <v>0.12352941176470589</v>
      </c>
      <c r="I157" s="17">
        <v>1</v>
      </c>
      <c r="K157" s="1" t="s">
        <v>10</v>
      </c>
      <c r="L157" s="1">
        <v>43815</v>
      </c>
      <c r="M157" s="3">
        <v>846</v>
      </c>
      <c r="N157" s="3">
        <v>705</v>
      </c>
      <c r="O157" s="3">
        <v>104</v>
      </c>
      <c r="P157" s="3">
        <v>0</v>
      </c>
      <c r="Q157" s="9">
        <f>(Table13[Terpakai]+Table13[[#This Row],[Staging]])/Table13[Qty Lokasi]</f>
        <v>0.83333333333333337</v>
      </c>
      <c r="R157" s="9">
        <f>Table13[Max]-Table13[Occupancy]</f>
        <v>0.16666666666666663</v>
      </c>
      <c r="S157" s="2">
        <v>1</v>
      </c>
      <c r="U157" s="3" t="s">
        <v>11</v>
      </c>
      <c r="V157" s="1">
        <v>43815</v>
      </c>
      <c r="W157" s="3">
        <v>456</v>
      </c>
      <c r="X157" s="3">
        <v>290</v>
      </c>
      <c r="Y157" s="3">
        <v>166</v>
      </c>
      <c r="Z157" s="3">
        <v>0</v>
      </c>
      <c r="AA157" s="9">
        <f>(Table7[Terpakai]+Table7[[#This Row],[Staging]])/Table7[Qty Lokasi]</f>
        <v>0.63596491228070173</v>
      </c>
      <c r="AB157" s="9">
        <f>Table7[Max]-Table7[Occupancy]</f>
        <v>0.36403508771929827</v>
      </c>
      <c r="AC157" s="2">
        <v>1</v>
      </c>
      <c r="AE157" s="28">
        <f>SUM(Table1[[#This Row],[Qty Lokasi]]+Table13[[#This Row],[Qty Lokasi]]+Table7[[#This Row],[Qty Lokasi]])</f>
        <v>5212</v>
      </c>
      <c r="AF157" s="28">
        <f>SUM(Table1[[#This Row],[Available]]+Table13[[#This Row],[Available]]+Table7[[#This Row],[Available]])</f>
        <v>753</v>
      </c>
      <c r="AG157" s="29">
        <f>1-Table3[Available]/Table3[Total]</f>
        <v>0.85552570990023025</v>
      </c>
    </row>
    <row r="158" spans="1:33">
      <c r="A158" s="18" t="s">
        <v>9</v>
      </c>
      <c r="B158" s="1">
        <v>43816</v>
      </c>
      <c r="C158" s="3">
        <v>3910</v>
      </c>
      <c r="D158" s="3">
        <v>3338</v>
      </c>
      <c r="E158" s="3">
        <v>436</v>
      </c>
      <c r="F158" s="3">
        <v>136</v>
      </c>
      <c r="G158" s="9">
        <f>(Table1[Terpakai]+Table1[[#This Row],[Staging]])/Table1[Qty Lokasi]</f>
        <v>0.88849104859335037</v>
      </c>
      <c r="H158" s="9">
        <f>Table1[Max]-Table1[Occupancy]</f>
        <v>0.11150895140664963</v>
      </c>
      <c r="I158" s="17">
        <v>1</v>
      </c>
      <c r="K158" s="1" t="s">
        <v>10</v>
      </c>
      <c r="L158" s="1">
        <v>43816</v>
      </c>
      <c r="M158" s="3">
        <v>856</v>
      </c>
      <c r="N158" s="3">
        <v>723</v>
      </c>
      <c r="O158" s="3">
        <v>113</v>
      </c>
      <c r="P158" s="3">
        <v>20</v>
      </c>
      <c r="Q158" s="9">
        <f>(Table13[Terpakai]+Table13[[#This Row],[Staging]])/Table13[Qty Lokasi]</f>
        <v>0.8679906542056075</v>
      </c>
      <c r="R158" s="9">
        <f>Table13[Max]-Table13[Occupancy]</f>
        <v>0.1320093457943925</v>
      </c>
      <c r="S158" s="2">
        <v>1</v>
      </c>
      <c r="U158" s="3" t="s">
        <v>11</v>
      </c>
      <c r="V158" s="1">
        <v>43816</v>
      </c>
      <c r="W158" s="3">
        <v>456</v>
      </c>
      <c r="X158" s="3">
        <v>213</v>
      </c>
      <c r="Y158" s="3">
        <v>166</v>
      </c>
      <c r="Z158" s="3">
        <v>77</v>
      </c>
      <c r="AA158" s="9">
        <f>(Table7[Terpakai]+Table7[[#This Row],[Staging]])/Table7[Qty Lokasi]</f>
        <v>0.63596491228070173</v>
      </c>
      <c r="AB158" s="9">
        <f>Table7[Max]-Table7[Occupancy]</f>
        <v>0.36403508771929827</v>
      </c>
      <c r="AC158" s="2">
        <v>1</v>
      </c>
      <c r="AE158" s="28">
        <f>SUM(Table1[[#This Row],[Qty Lokasi]]+Table13[[#This Row],[Qty Lokasi]]+Table7[[#This Row],[Qty Lokasi]])</f>
        <v>5222</v>
      </c>
      <c r="AF158" s="28">
        <f>SUM(Table1[[#This Row],[Available]]+Table13[[#This Row],[Available]]+Table7[[#This Row],[Available]])</f>
        <v>715</v>
      </c>
      <c r="AG158" s="29">
        <f>1-Table3[Available]/Table3[Total]</f>
        <v>0.8630792799693604</v>
      </c>
    </row>
    <row r="159" spans="1:33">
      <c r="A159" s="18" t="s">
        <v>9</v>
      </c>
      <c r="B159" s="1">
        <v>43817</v>
      </c>
      <c r="C159" s="3">
        <v>3910</v>
      </c>
      <c r="D159" s="3">
        <v>3393</v>
      </c>
      <c r="E159" s="3">
        <v>429</v>
      </c>
      <c r="F159" s="3">
        <v>88</v>
      </c>
      <c r="G159" s="9">
        <f>(Table1[Terpakai]+Table1[[#This Row],[Staging]])/Table1[Qty Lokasi]</f>
        <v>0.89028132992327369</v>
      </c>
      <c r="H159" s="9">
        <f>Table1[Max]-Table1[Occupancy]</f>
        <v>0.10971867007672631</v>
      </c>
      <c r="I159" s="17">
        <v>1</v>
      </c>
      <c r="K159" s="1" t="s">
        <v>10</v>
      </c>
      <c r="L159" s="1">
        <v>43817</v>
      </c>
      <c r="M159" s="3">
        <v>856</v>
      </c>
      <c r="N159" s="3">
        <v>701</v>
      </c>
      <c r="O159" s="3">
        <v>115</v>
      </c>
      <c r="P159" s="3">
        <v>40</v>
      </c>
      <c r="Q159" s="9">
        <f>(Table13[Terpakai]+Table13[[#This Row],[Staging]])/Table13[Qty Lokasi]</f>
        <v>0.86565420560747663</v>
      </c>
      <c r="R159" s="9">
        <f>Table13[Max]-Table13[Occupancy]</f>
        <v>0.13434579439252337</v>
      </c>
      <c r="S159" s="2">
        <v>1</v>
      </c>
      <c r="U159" s="3" t="s">
        <v>11</v>
      </c>
      <c r="V159" s="1">
        <v>43817</v>
      </c>
      <c r="W159" s="3">
        <v>456</v>
      </c>
      <c r="X159" s="3">
        <v>196</v>
      </c>
      <c r="Y159" s="3">
        <v>150</v>
      </c>
      <c r="Z159" s="3">
        <v>110</v>
      </c>
      <c r="AA159" s="9">
        <f>(Table7[Terpakai]+Table7[[#This Row],[Staging]])/Table7[Qty Lokasi]</f>
        <v>0.67105263157894735</v>
      </c>
      <c r="AB159" s="9">
        <f>Table7[Max]-Table7[Occupancy]</f>
        <v>0.32894736842105265</v>
      </c>
      <c r="AC159" s="2">
        <v>1</v>
      </c>
      <c r="AE159" s="28">
        <f>SUM(Table1[[#This Row],[Qty Lokasi]]+Table13[[#This Row],[Qty Lokasi]]+Table7[[#This Row],[Qty Lokasi]])</f>
        <v>5222</v>
      </c>
      <c r="AF159" s="28">
        <f>SUM(Table1[[#This Row],[Available]]+Table13[[#This Row],[Available]]+Table7[[#This Row],[Available]])</f>
        <v>694</v>
      </c>
      <c r="AG159" s="29">
        <f>1-Table3[Available]/Table3[Total]</f>
        <v>0.86710072769054003</v>
      </c>
    </row>
    <row r="160" spans="1:33">
      <c r="A160" s="18" t="s">
        <v>9</v>
      </c>
      <c r="B160" s="1">
        <v>43818</v>
      </c>
      <c r="C160" s="3">
        <v>3910</v>
      </c>
      <c r="D160" s="3">
        <v>3399</v>
      </c>
      <c r="E160" s="3">
        <v>493</v>
      </c>
      <c r="F160" s="3">
        <v>18</v>
      </c>
      <c r="G160" s="9">
        <f>(Table1[Terpakai]+Table1[[#This Row],[Staging]])/Table1[Qty Lokasi]</f>
        <v>0.87391304347826082</v>
      </c>
      <c r="H160" s="9">
        <f>Table1[Max]-Table1[Occupancy]</f>
        <v>0.12608695652173918</v>
      </c>
      <c r="I160" s="17">
        <v>1</v>
      </c>
      <c r="K160" s="1" t="s">
        <v>10</v>
      </c>
      <c r="L160" s="1">
        <v>43818</v>
      </c>
      <c r="M160" s="3">
        <v>856</v>
      </c>
      <c r="N160" s="3">
        <v>731</v>
      </c>
      <c r="O160" s="3">
        <v>23</v>
      </c>
      <c r="P160" s="3">
        <v>102</v>
      </c>
      <c r="Q160" s="9">
        <f>(Table13[Terpakai]+Table13[[#This Row],[Staging]])/Table13[Qty Lokasi]</f>
        <v>0.97313084112149528</v>
      </c>
      <c r="R160" s="9">
        <f>Table13[Max]-Table13[Occupancy]</f>
        <v>2.6869158878504718E-2</v>
      </c>
      <c r="S160" s="2">
        <v>1</v>
      </c>
      <c r="U160" s="3" t="s">
        <v>11</v>
      </c>
      <c r="V160" s="1">
        <v>43818</v>
      </c>
      <c r="W160" s="3">
        <v>456</v>
      </c>
      <c r="X160" s="3">
        <v>223</v>
      </c>
      <c r="Y160" s="3">
        <v>164</v>
      </c>
      <c r="Z160" s="3">
        <v>69</v>
      </c>
      <c r="AA160" s="9">
        <f>(Table7[Terpakai]+Table7[[#This Row],[Staging]])/Table7[Qty Lokasi]</f>
        <v>0.64035087719298245</v>
      </c>
      <c r="AB160" s="9">
        <f>Table7[Max]-Table7[Occupancy]</f>
        <v>0.35964912280701755</v>
      </c>
      <c r="AC160" s="2">
        <v>1</v>
      </c>
      <c r="AE160" s="28">
        <f>SUM(Table1[[#This Row],[Qty Lokasi]]+Table13[[#This Row],[Qty Lokasi]]+Table7[[#This Row],[Qty Lokasi]])</f>
        <v>5222</v>
      </c>
      <c r="AF160" s="28">
        <f>SUM(Table1[[#This Row],[Available]]+Table13[[#This Row],[Available]]+Table7[[#This Row],[Available]])</f>
        <v>680</v>
      </c>
      <c r="AG160" s="29">
        <f>1-Table3[Available]/Table3[Total]</f>
        <v>0.86978169283799311</v>
      </c>
    </row>
    <row r="161" spans="1:33">
      <c r="A161" s="18" t="s">
        <v>9</v>
      </c>
      <c r="B161" s="1">
        <v>43819</v>
      </c>
      <c r="C161" s="3">
        <v>3910</v>
      </c>
      <c r="D161" s="3">
        <v>3321</v>
      </c>
      <c r="E161" s="3">
        <v>588</v>
      </c>
      <c r="F161" s="3">
        <v>1</v>
      </c>
      <c r="G161" s="9">
        <f>(Table1[Terpakai]+Table1[[#This Row],[Staging]])/Table1[Qty Lokasi]</f>
        <v>0.84961636828644505</v>
      </c>
      <c r="H161" s="9">
        <f>Table1[Max]-Table1[Occupancy]</f>
        <v>0.15038363171355495</v>
      </c>
      <c r="I161" s="17">
        <v>1</v>
      </c>
      <c r="K161" s="1" t="s">
        <v>10</v>
      </c>
      <c r="L161" s="1">
        <v>43819</v>
      </c>
      <c r="M161" s="3">
        <v>858</v>
      </c>
      <c r="N161" s="3">
        <v>766</v>
      </c>
      <c r="O161" s="3">
        <v>80</v>
      </c>
      <c r="P161" s="3">
        <v>12</v>
      </c>
      <c r="Q161" s="9">
        <f>(Table13[Terpakai]+Table13[[#This Row],[Staging]])/Table13[Qty Lokasi]</f>
        <v>0.90675990675990681</v>
      </c>
      <c r="R161" s="9">
        <f>Table13[Max]-Table13[Occupancy]</f>
        <v>9.3240093240093191E-2</v>
      </c>
      <c r="S161" s="2">
        <v>1</v>
      </c>
      <c r="U161" s="3" t="s">
        <v>11</v>
      </c>
      <c r="V161" s="1">
        <v>43819</v>
      </c>
      <c r="W161" s="3">
        <v>456</v>
      </c>
      <c r="X161" s="3">
        <v>291</v>
      </c>
      <c r="Y161" s="3">
        <v>130</v>
      </c>
      <c r="Z161" s="3">
        <v>35</v>
      </c>
      <c r="AA161" s="9">
        <f>(Table7[Terpakai]+Table7[[#This Row],[Staging]])/Table7[Qty Lokasi]</f>
        <v>0.71491228070175439</v>
      </c>
      <c r="AB161" s="9">
        <f>Table7[Max]-Table7[Occupancy]</f>
        <v>0.28508771929824561</v>
      </c>
      <c r="AC161" s="2">
        <v>1</v>
      </c>
      <c r="AE161" s="28">
        <f>SUM(Table1[[#This Row],[Qty Lokasi]]+Table13[[#This Row],[Qty Lokasi]]+Table7[[#This Row],[Qty Lokasi]])</f>
        <v>5224</v>
      </c>
      <c r="AF161" s="28">
        <f>SUM(Table1[[#This Row],[Available]]+Table13[[#This Row],[Available]]+Table7[[#This Row],[Available]])</f>
        <v>798</v>
      </c>
      <c r="AG161" s="29">
        <f>1-Table3[Available]/Table3[Total]</f>
        <v>0.84724349157733536</v>
      </c>
    </row>
    <row r="162" spans="1:33">
      <c r="A162" s="18" t="s">
        <v>9</v>
      </c>
      <c r="B162" s="1">
        <v>43822</v>
      </c>
      <c r="C162" s="3">
        <v>3910</v>
      </c>
      <c r="D162" s="3">
        <v>3249</v>
      </c>
      <c r="E162" s="3">
        <v>661</v>
      </c>
      <c r="F162" s="3">
        <v>0</v>
      </c>
      <c r="G162" s="9">
        <f>(Table1[Terpakai]+Table1[[#This Row],[Staging]])/Table1[Qty Lokasi]</f>
        <v>0.83094629156010236</v>
      </c>
      <c r="H162" s="9">
        <f>Table1[Max]-Table1[Occupancy]</f>
        <v>0.16905370843989764</v>
      </c>
      <c r="I162" s="17">
        <v>1</v>
      </c>
      <c r="K162" s="1" t="s">
        <v>10</v>
      </c>
      <c r="L162" s="1">
        <v>43822</v>
      </c>
      <c r="M162" s="3">
        <v>858</v>
      </c>
      <c r="N162" s="3">
        <v>710</v>
      </c>
      <c r="O162" s="3">
        <v>116</v>
      </c>
      <c r="P162" s="3">
        <v>32</v>
      </c>
      <c r="Q162" s="9">
        <f>(Table13[Terpakai]+Table13[[#This Row],[Staging]])/Table13[Qty Lokasi]</f>
        <v>0.86480186480186483</v>
      </c>
      <c r="R162" s="9">
        <f>Table13[Max]-Table13[Occupancy]</f>
        <v>0.13519813519813517</v>
      </c>
      <c r="S162" s="2">
        <v>1</v>
      </c>
      <c r="U162" s="3" t="s">
        <v>11</v>
      </c>
      <c r="V162" s="1">
        <v>43822</v>
      </c>
      <c r="W162" s="3">
        <v>456</v>
      </c>
      <c r="X162" s="3">
        <v>302</v>
      </c>
      <c r="Y162" s="3">
        <v>106</v>
      </c>
      <c r="Z162" s="3">
        <v>48</v>
      </c>
      <c r="AA162" s="9">
        <f>(Table7[Terpakai]+Table7[[#This Row],[Staging]])/Table7[Qty Lokasi]</f>
        <v>0.76754385964912286</v>
      </c>
      <c r="AB162" s="9">
        <f>Table7[Max]-Table7[Occupancy]</f>
        <v>0.23245614035087714</v>
      </c>
      <c r="AC162" s="2">
        <v>1</v>
      </c>
      <c r="AE162" s="3">
        <f>SUM(Table1[[#This Row],[Qty Lokasi]]+Table13[[#This Row],[Qty Lokasi]]+Table7[[#This Row],[Qty Lokasi]])</f>
        <v>5224</v>
      </c>
      <c r="AF162" s="3">
        <f>SUM(Table1[[#This Row],[Available]]+Table13[[#This Row],[Available]]+Table7[[#This Row],[Available]])</f>
        <v>883</v>
      </c>
      <c r="AG162" s="9">
        <f>1-Table3[Available]/Table3[Total]</f>
        <v>0.83097243491577333</v>
      </c>
    </row>
    <row r="163" spans="1:33">
      <c r="A163" s="18" t="s">
        <v>9</v>
      </c>
      <c r="B163" s="1">
        <v>43825</v>
      </c>
      <c r="C163" s="3">
        <v>3910</v>
      </c>
      <c r="D163" s="3">
        <v>3221</v>
      </c>
      <c r="E163" s="3">
        <v>641</v>
      </c>
      <c r="F163" s="3">
        <v>48</v>
      </c>
      <c r="G163" s="9">
        <f>(Table1[Terpakai]+Table1[[#This Row],[Staging]])/Table1[Qty Lokasi]</f>
        <v>0.83606138107416883</v>
      </c>
      <c r="H163" s="9">
        <f>Table1[Max]-Table1[Occupancy]</f>
        <v>0.16393861892583117</v>
      </c>
      <c r="I163" s="17">
        <v>1</v>
      </c>
      <c r="K163" s="1" t="s">
        <v>10</v>
      </c>
      <c r="L163" s="1">
        <v>43825</v>
      </c>
      <c r="M163" s="3">
        <v>898</v>
      </c>
      <c r="N163" s="3">
        <v>731</v>
      </c>
      <c r="O163" s="3">
        <v>138</v>
      </c>
      <c r="P163" s="3">
        <v>29</v>
      </c>
      <c r="Q163" s="9">
        <f>(Table13[Terpakai]+Table13[[#This Row],[Staging]])/Table13[Qty Lokasi]</f>
        <v>0.84632516703786187</v>
      </c>
      <c r="R163" s="9">
        <f>Table13[Max]-Table13[Occupancy]</f>
        <v>0.15367483296213813</v>
      </c>
      <c r="S163" s="2">
        <v>1</v>
      </c>
      <c r="U163" s="3" t="s">
        <v>11</v>
      </c>
      <c r="V163" s="1">
        <v>43825</v>
      </c>
      <c r="W163" s="3">
        <v>456</v>
      </c>
      <c r="X163" s="3">
        <v>393</v>
      </c>
      <c r="Y163" s="3">
        <v>40</v>
      </c>
      <c r="Z163" s="3">
        <v>23</v>
      </c>
      <c r="AA163" s="9">
        <f>(Table7[Terpakai]+Table7[[#This Row],[Staging]])/Table7[Qty Lokasi]</f>
        <v>0.91228070175438591</v>
      </c>
      <c r="AB163" s="9">
        <f>Table7[Max]-Table7[Occupancy]</f>
        <v>8.7719298245614086E-2</v>
      </c>
      <c r="AC163" s="2">
        <v>1</v>
      </c>
      <c r="AE163" s="3">
        <f>SUM(Table1[[#This Row],[Qty Lokasi]]+Table13[[#This Row],[Qty Lokasi]]+Table7[[#This Row],[Qty Lokasi]])</f>
        <v>5264</v>
      </c>
      <c r="AF163" s="3">
        <f>SUM(Table1[[#This Row],[Available]]+Table13[[#This Row],[Available]]+Table7[[#This Row],[Available]])</f>
        <v>819</v>
      </c>
      <c r="AG163" s="9">
        <f>1-Table3[Available]/Table3[Total]</f>
        <v>0.84441489361702127</v>
      </c>
    </row>
    <row r="164" spans="1:33">
      <c r="A164" s="18" t="s">
        <v>9</v>
      </c>
      <c r="B164" s="1">
        <v>43827</v>
      </c>
      <c r="C164" s="3">
        <v>3910</v>
      </c>
      <c r="D164" s="3">
        <v>3182</v>
      </c>
      <c r="E164" s="3">
        <v>502</v>
      </c>
      <c r="F164" s="3">
        <v>226</v>
      </c>
      <c r="G164" s="9">
        <f>(Table1[Terpakai]+Table1[[#This Row],[Staging]])/Table1[Qty Lokasi]</f>
        <v>0.871611253196931</v>
      </c>
      <c r="H164" s="9">
        <f>Table1[Max]-Table1[Occupancy]</f>
        <v>0.128388746803069</v>
      </c>
      <c r="I164" s="17">
        <v>1</v>
      </c>
      <c r="K164" s="1" t="s">
        <v>10</v>
      </c>
      <c r="L164" s="1">
        <v>43827</v>
      </c>
      <c r="M164" s="3">
        <v>898</v>
      </c>
      <c r="N164" s="3">
        <v>724</v>
      </c>
      <c r="O164" s="3">
        <v>133</v>
      </c>
      <c r="P164" s="3">
        <v>41</v>
      </c>
      <c r="Q164" s="9">
        <f>(Table13[Terpakai]+Table13[[#This Row],[Staging]])/Table13[Qty Lokasi]</f>
        <v>0.85189309576837413</v>
      </c>
      <c r="R164" s="9">
        <f>Table13[Max]-Table13[Occupancy]</f>
        <v>0.14810690423162587</v>
      </c>
      <c r="S164" s="2">
        <v>1</v>
      </c>
      <c r="U164" s="3" t="s">
        <v>11</v>
      </c>
      <c r="V164" s="1">
        <v>43827</v>
      </c>
      <c r="W164" s="3">
        <v>456</v>
      </c>
      <c r="X164" s="3">
        <v>307</v>
      </c>
      <c r="Y164" s="3">
        <v>39</v>
      </c>
      <c r="Z164" s="3">
        <v>110</v>
      </c>
      <c r="AA164" s="9">
        <f>(Table7[Terpakai]+Table7[[#This Row],[Staging]])/Table7[Qty Lokasi]</f>
        <v>0.91447368421052633</v>
      </c>
      <c r="AB164" s="9">
        <f>Table7[Max]-Table7[Occupancy]</f>
        <v>8.5526315789473673E-2</v>
      </c>
      <c r="AC164" s="2">
        <v>1</v>
      </c>
      <c r="AE164" s="28">
        <f>SUM(Table1[[#This Row],[Qty Lokasi]]+Table13[[#This Row],[Qty Lokasi]]+Table7[[#This Row],[Qty Lokasi]])</f>
        <v>5264</v>
      </c>
      <c r="AF164" s="28">
        <f>SUM(Table1[[#This Row],[Available]]+Table13[[#This Row],[Available]]+Table7[[#This Row],[Available]])</f>
        <v>674</v>
      </c>
      <c r="AG164" s="29">
        <f>1-Table3[Available]/Table3[Total]</f>
        <v>0.87196048632218848</v>
      </c>
    </row>
    <row r="165" spans="1:33">
      <c r="A165" s="18" t="s">
        <v>9</v>
      </c>
      <c r="B165" s="1">
        <v>43829</v>
      </c>
      <c r="C165" s="3">
        <v>3620</v>
      </c>
      <c r="D165" s="3">
        <v>3259</v>
      </c>
      <c r="E165" s="3">
        <v>285</v>
      </c>
      <c r="F165" s="3">
        <v>76</v>
      </c>
      <c r="G165" s="9">
        <f>(Table1[Terpakai]+Table1[[#This Row],[Staging]])/Table1[Qty Lokasi]</f>
        <v>0.92127071823204421</v>
      </c>
      <c r="H165" s="9">
        <f>Table1[Max]-Table1[Occupancy]</f>
        <v>7.8729281767955794E-2</v>
      </c>
      <c r="I165" s="17">
        <v>1</v>
      </c>
      <c r="K165" s="1" t="s">
        <v>10</v>
      </c>
      <c r="L165" s="1">
        <v>43829</v>
      </c>
      <c r="M165" s="3">
        <v>898</v>
      </c>
      <c r="N165" s="3">
        <v>718</v>
      </c>
      <c r="O165" s="3">
        <v>153</v>
      </c>
      <c r="P165" s="3">
        <v>27</v>
      </c>
      <c r="Q165" s="9">
        <f>(Table13[Terpakai]+Table13[[#This Row],[Staging]])/Table13[Qty Lokasi]</f>
        <v>0.8296213808463252</v>
      </c>
      <c r="R165" s="9">
        <f>Table13[Max]-Table13[Occupancy]</f>
        <v>0.1703786191536748</v>
      </c>
      <c r="S165" s="2">
        <v>1</v>
      </c>
      <c r="U165" s="3" t="s">
        <v>11</v>
      </c>
      <c r="V165" s="1">
        <v>43829</v>
      </c>
      <c r="W165" s="3">
        <v>456</v>
      </c>
      <c r="X165" s="3">
        <v>231</v>
      </c>
      <c r="Y165" s="3">
        <v>117</v>
      </c>
      <c r="Z165" s="3">
        <v>108</v>
      </c>
      <c r="AA165" s="9">
        <f>(Table7[Terpakai]+Table7[[#This Row],[Staging]])/Table7[Qty Lokasi]</f>
        <v>0.74342105263157898</v>
      </c>
      <c r="AB165" s="9">
        <f>Table7[Max]-Table7[Occupancy]</f>
        <v>0.25657894736842102</v>
      </c>
      <c r="AC165" s="2">
        <v>1</v>
      </c>
      <c r="AE165" s="28">
        <f>SUM(Table1[[#This Row],[Qty Lokasi]]+Table13[[#This Row],[Qty Lokasi]]+Table7[[#This Row],[Qty Lokasi]])</f>
        <v>4974</v>
      </c>
      <c r="AF165" s="28">
        <f>SUM(Table1[[#This Row],[Available]]+Table13[[#This Row],[Available]]+Table7[[#This Row],[Available]])</f>
        <v>555</v>
      </c>
      <c r="AG165" s="29">
        <f>1-Table3[Available]/Table3[Total]</f>
        <v>0.88841978287092882</v>
      </c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opLeftCell="A44" workbookViewId="0">
      <selection activeCell="X26" sqref="X26"/>
    </sheetView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6"/>
  <sheetViews>
    <sheetView showGridLines="0" tabSelected="1" topLeftCell="A139" workbookViewId="0">
      <selection activeCell="I166" sqref="I166"/>
    </sheetView>
  </sheetViews>
  <sheetFormatPr defaultRowHeight="15"/>
  <cols>
    <col min="1" max="1" width="9.140625" style="3"/>
    <col min="2" max="2" width="10.140625" style="3" bestFit="1" customWidth="1"/>
    <col min="3" max="5" width="9.140625" style="3"/>
    <col min="6" max="6" width="9.140625" style="12"/>
    <col min="7" max="9" width="9.140625" style="2"/>
    <col min="10" max="16384" width="9.140625" style="3"/>
  </cols>
  <sheetData>
    <row r="2" spans="1:9">
      <c r="A2" s="4" t="s">
        <v>8</v>
      </c>
      <c r="B2" s="4" t="s">
        <v>0</v>
      </c>
      <c r="C2" s="5" t="s">
        <v>1</v>
      </c>
      <c r="D2" s="5" t="s">
        <v>2</v>
      </c>
      <c r="E2" s="5" t="s">
        <v>7</v>
      </c>
      <c r="F2" s="13" t="s">
        <v>3</v>
      </c>
      <c r="G2" s="6" t="s">
        <v>4</v>
      </c>
      <c r="H2" s="6" t="s">
        <v>5</v>
      </c>
      <c r="I2" s="6" t="s">
        <v>6</v>
      </c>
    </row>
    <row r="3" spans="1:9">
      <c r="A3" s="1" t="s">
        <v>12</v>
      </c>
      <c r="B3" s="1">
        <v>43587</v>
      </c>
      <c r="C3" s="7">
        <v>2771</v>
      </c>
      <c r="D3" s="7">
        <v>2261</v>
      </c>
      <c r="E3" s="7">
        <v>376</v>
      </c>
      <c r="F3" s="7">
        <v>134</v>
      </c>
      <c r="G3" s="2">
        <f>(Table1345[Terpakai]+Table1345[Staging])/Table1345[Qty Lokasi]</f>
        <v>0.86430891374954888</v>
      </c>
      <c r="H3" s="2">
        <f>Table1345[Max]-Table1345[Occupancy]</f>
        <v>0.13569108625045112</v>
      </c>
      <c r="I3" s="2">
        <v>1</v>
      </c>
    </row>
    <row r="4" spans="1:9">
      <c r="A4" s="1" t="s">
        <v>12</v>
      </c>
      <c r="B4" s="1">
        <v>43588</v>
      </c>
      <c r="C4" s="7">
        <v>2771</v>
      </c>
      <c r="D4" s="7">
        <v>2213</v>
      </c>
      <c r="E4" s="7">
        <v>283</v>
      </c>
      <c r="F4" s="7">
        <v>275</v>
      </c>
      <c r="G4" s="2">
        <f>(Table1345[Terpakai]+Table1345[Staging])/Table1345[Qty Lokasi]</f>
        <v>0.89787080476362324</v>
      </c>
      <c r="H4" s="2">
        <f>Table1345[Max]-Table1345[Occupancy]</f>
        <v>0.10212919523637676</v>
      </c>
      <c r="I4" s="2">
        <v>1</v>
      </c>
    </row>
    <row r="5" spans="1:9">
      <c r="A5" s="1" t="s">
        <v>12</v>
      </c>
      <c r="B5" s="1">
        <v>43589</v>
      </c>
      <c r="C5" s="7">
        <v>2771</v>
      </c>
      <c r="D5" s="7">
        <v>2247</v>
      </c>
      <c r="E5" s="7">
        <v>175</v>
      </c>
      <c r="F5" s="7">
        <v>349</v>
      </c>
      <c r="G5" s="2">
        <f>(Table1345[Terpakai]+Table1345[Staging])/Table1345[Qty Lokasi]</f>
        <v>0.93684590400577406</v>
      </c>
      <c r="H5" s="2">
        <f>Table1345[Max]-Table1345[Occupancy]</f>
        <v>6.3154095994225945E-2</v>
      </c>
      <c r="I5" s="2">
        <v>1</v>
      </c>
    </row>
    <row r="6" spans="1:9">
      <c r="A6" s="1" t="s">
        <v>12</v>
      </c>
      <c r="B6" s="1">
        <v>43591</v>
      </c>
      <c r="C6" s="7">
        <v>2771</v>
      </c>
      <c r="D6" s="7">
        <v>2365</v>
      </c>
      <c r="E6" s="7">
        <v>356</v>
      </c>
      <c r="F6" s="7">
        <v>50</v>
      </c>
      <c r="G6" s="2">
        <f>(Table1345[Terpakai]+Table1345[Staging])/Table1345[Qty Lokasi]</f>
        <v>0.87152652472031755</v>
      </c>
      <c r="H6" s="2">
        <f>Table1345[Max]-Table1345[Occupancy]</f>
        <v>0.12847347527968245</v>
      </c>
      <c r="I6" s="2">
        <v>1</v>
      </c>
    </row>
    <row r="7" spans="1:9">
      <c r="A7" s="1" t="s">
        <v>12</v>
      </c>
      <c r="B7" s="1">
        <v>43592</v>
      </c>
      <c r="C7" s="7">
        <v>2771</v>
      </c>
      <c r="D7" s="7">
        <v>2378</v>
      </c>
      <c r="E7" s="7">
        <v>57</v>
      </c>
      <c r="F7" s="7">
        <v>336</v>
      </c>
      <c r="G7" s="2">
        <f>(Table1345[Terpakai]+Table1345[Staging])/Table1345[Qty Lokasi]</f>
        <v>0.97942980873330932</v>
      </c>
      <c r="H7" s="2">
        <f>Table1345[Max]-Table1345[Occupancy]</f>
        <v>2.0570191266690685E-2</v>
      </c>
      <c r="I7" s="2">
        <v>1</v>
      </c>
    </row>
    <row r="8" spans="1:9">
      <c r="A8" s="1" t="s">
        <v>12</v>
      </c>
      <c r="B8" s="1">
        <v>43593</v>
      </c>
      <c r="C8" s="7">
        <v>2771</v>
      </c>
      <c r="D8" s="7">
        <v>2379</v>
      </c>
      <c r="E8" s="7">
        <v>63</v>
      </c>
      <c r="F8" s="7">
        <v>329</v>
      </c>
      <c r="G8" s="2">
        <f>(Table1345[Terpakai]+Table1345[Staging])/Table1345[Qty Lokasi]</f>
        <v>0.97726452544207865</v>
      </c>
      <c r="H8" s="2">
        <f>Table1345[Max]-Table1345[Occupancy]</f>
        <v>2.2735474557921354E-2</v>
      </c>
      <c r="I8" s="2">
        <v>1</v>
      </c>
    </row>
    <row r="9" spans="1:9">
      <c r="A9" s="1" t="s">
        <v>12</v>
      </c>
      <c r="B9" s="1">
        <v>43594</v>
      </c>
      <c r="C9" s="7">
        <v>2771</v>
      </c>
      <c r="D9" s="7">
        <v>2452</v>
      </c>
      <c r="E9" s="7">
        <v>115</v>
      </c>
      <c r="F9" s="7">
        <v>204</v>
      </c>
      <c r="G9" s="2">
        <f>(Table1345[Terpakai]+Table1345[Staging])/Table1345[Qty Lokasi]</f>
        <v>0.95849873691808007</v>
      </c>
      <c r="H9" s="2">
        <f>Table1345[Max]-Table1345[Occupancy]</f>
        <v>4.1501263081919926E-2</v>
      </c>
      <c r="I9" s="2">
        <v>1</v>
      </c>
    </row>
    <row r="10" spans="1:9">
      <c r="A10" s="1" t="s">
        <v>12</v>
      </c>
      <c r="B10" s="1">
        <v>43595</v>
      </c>
      <c r="C10" s="7">
        <v>2771</v>
      </c>
      <c r="D10" s="7">
        <v>2401</v>
      </c>
      <c r="E10" s="7">
        <v>259</v>
      </c>
      <c r="F10" s="7">
        <v>111</v>
      </c>
      <c r="G10" s="2">
        <f>(Table1345[Terpakai]+Table1345[Staging])/Table1345[Qty Lokasi]</f>
        <v>0.90653193792854569</v>
      </c>
      <c r="H10" s="2">
        <f>Table1345[Max]-Table1345[Occupancy]</f>
        <v>9.3468062071454305E-2</v>
      </c>
      <c r="I10" s="2">
        <v>1</v>
      </c>
    </row>
    <row r="11" spans="1:9">
      <c r="A11" s="1" t="s">
        <v>12</v>
      </c>
      <c r="B11" s="1">
        <v>43598</v>
      </c>
      <c r="C11" s="7">
        <v>2771</v>
      </c>
      <c r="D11" s="7">
        <v>2378</v>
      </c>
      <c r="E11" s="7">
        <v>298</v>
      </c>
      <c r="F11" s="7">
        <v>95</v>
      </c>
      <c r="G11" s="2">
        <f>(Table1345[Terpakai]+Table1345[Staging])/Table1345[Qty Lokasi]</f>
        <v>0.89245759653554668</v>
      </c>
      <c r="H11" s="2">
        <f>Table1345[Max]-Table1345[Occupancy]</f>
        <v>0.10754240346445332</v>
      </c>
      <c r="I11" s="2">
        <v>1</v>
      </c>
    </row>
    <row r="12" spans="1:9">
      <c r="A12" s="1" t="s">
        <v>12</v>
      </c>
      <c r="B12" s="1">
        <v>43599</v>
      </c>
      <c r="C12" s="7">
        <v>2771</v>
      </c>
      <c r="D12" s="7">
        <v>2338</v>
      </c>
      <c r="E12" s="7">
        <v>232</v>
      </c>
      <c r="F12" s="7">
        <v>201</v>
      </c>
      <c r="G12" s="2">
        <f>(Table1345[Terpakai]+Table1345[Staging])/Table1345[Qty Lokasi]</f>
        <v>0.91627571273908337</v>
      </c>
      <c r="H12" s="2">
        <f>Table1345[Max]-Table1345[Occupancy]</f>
        <v>8.372428726091663E-2</v>
      </c>
      <c r="I12" s="2">
        <v>1</v>
      </c>
    </row>
    <row r="13" spans="1:9">
      <c r="A13" s="1" t="s">
        <v>12</v>
      </c>
      <c r="B13" s="1">
        <v>43600</v>
      </c>
      <c r="C13" s="7">
        <v>2771</v>
      </c>
      <c r="D13" s="7">
        <v>2363</v>
      </c>
      <c r="E13" s="7">
        <v>220</v>
      </c>
      <c r="F13" s="7">
        <v>188</v>
      </c>
      <c r="G13" s="2">
        <f>(Table1345[Terpakai]+Table1345[Staging])/Table1345[Qty Lokasi]</f>
        <v>0.9206062793215446</v>
      </c>
      <c r="H13" s="2">
        <f>Table1345[Max]-Table1345[Occupancy]</f>
        <v>7.9393720678455404E-2</v>
      </c>
      <c r="I13" s="2">
        <v>1</v>
      </c>
    </row>
    <row r="14" spans="1:9">
      <c r="A14" s="1" t="s">
        <v>12</v>
      </c>
      <c r="B14" s="1">
        <v>43601</v>
      </c>
      <c r="C14" s="7">
        <v>2771</v>
      </c>
      <c r="D14" s="7">
        <v>2386</v>
      </c>
      <c r="E14" s="7">
        <v>277</v>
      </c>
      <c r="F14" s="7">
        <v>108</v>
      </c>
      <c r="G14" s="2">
        <f>(Table1345[Terpakai]+Table1345[Staging])/Table1345[Qty Lokasi]</f>
        <v>0.9000360880548538</v>
      </c>
      <c r="H14" s="2">
        <f>Table1345[Max]-Table1345[Occupancy]</f>
        <v>9.99639119451462E-2</v>
      </c>
      <c r="I14" s="2">
        <v>1</v>
      </c>
    </row>
    <row r="15" spans="1:9">
      <c r="A15" s="1" t="s">
        <v>12</v>
      </c>
      <c r="B15" s="1">
        <v>43602</v>
      </c>
      <c r="C15" s="7">
        <v>2771</v>
      </c>
      <c r="D15" s="7">
        <v>2337</v>
      </c>
      <c r="E15" s="7">
        <v>424</v>
      </c>
      <c r="F15" s="7">
        <v>10</v>
      </c>
      <c r="G15" s="2">
        <f>(Table1345[Terpakai]+Table1345[Staging])/Table1345[Qty Lokasi]</f>
        <v>0.84698664741970409</v>
      </c>
      <c r="H15" s="2">
        <f>Table1345[Max]-Table1345[Occupancy]</f>
        <v>0.15301335258029591</v>
      </c>
      <c r="I15" s="2">
        <v>1</v>
      </c>
    </row>
    <row r="16" spans="1:9">
      <c r="A16" s="1" t="s">
        <v>12</v>
      </c>
      <c r="B16" s="1">
        <v>43603</v>
      </c>
      <c r="C16" s="7">
        <v>2771</v>
      </c>
      <c r="D16" s="7">
        <v>2296</v>
      </c>
      <c r="E16" s="7">
        <v>466</v>
      </c>
      <c r="F16" s="7">
        <v>9</v>
      </c>
      <c r="G16" s="2">
        <f>(Table1345[Terpakai]+Table1345[Staging])/Table1345[Qty Lokasi]</f>
        <v>0.83182966438108985</v>
      </c>
      <c r="H16" s="2">
        <f>Table1345[Max]-Table1345[Occupancy]</f>
        <v>0.16817033561891015</v>
      </c>
      <c r="I16" s="2">
        <v>1</v>
      </c>
    </row>
    <row r="17" spans="1:9">
      <c r="A17" s="1" t="s">
        <v>12</v>
      </c>
      <c r="B17" s="1">
        <v>43605</v>
      </c>
      <c r="C17" s="7">
        <v>2771</v>
      </c>
      <c r="D17" s="7">
        <v>2270</v>
      </c>
      <c r="E17" s="7">
        <v>494</v>
      </c>
      <c r="F17" s="7">
        <v>7</v>
      </c>
      <c r="G17" s="2">
        <f>(Table1345[Terpakai]+Table1345[Staging])/Table1345[Qty Lokasi]</f>
        <v>0.82172500902201373</v>
      </c>
      <c r="H17" s="2">
        <f>Table1345[Max]-Table1345[Occupancy]</f>
        <v>0.17827499097798627</v>
      </c>
      <c r="I17" s="2">
        <v>1</v>
      </c>
    </row>
    <row r="18" spans="1:9">
      <c r="A18" s="1" t="s">
        <v>12</v>
      </c>
      <c r="B18" s="1">
        <v>43606</v>
      </c>
      <c r="C18" s="7">
        <v>2771</v>
      </c>
      <c r="D18" s="7">
        <v>2228</v>
      </c>
      <c r="E18" s="7">
        <v>439</v>
      </c>
      <c r="F18" s="7">
        <v>104</v>
      </c>
      <c r="G18" s="2">
        <f>(Table1345[Terpakai]+Table1345[Staging])/Table1345[Qty Lokasi]</f>
        <v>0.84157343919162753</v>
      </c>
      <c r="H18" s="2">
        <f>Table1345[Max]-Table1345[Occupancy]</f>
        <v>0.15842656080837247</v>
      </c>
      <c r="I18" s="2">
        <v>1</v>
      </c>
    </row>
    <row r="19" spans="1:9">
      <c r="A19" s="1" t="s">
        <v>12</v>
      </c>
      <c r="B19" s="1">
        <v>43607</v>
      </c>
      <c r="C19" s="7">
        <v>2771</v>
      </c>
      <c r="D19" s="7">
        <v>2272</v>
      </c>
      <c r="E19" s="7">
        <v>487</v>
      </c>
      <c r="F19" s="12">
        <v>12</v>
      </c>
      <c r="G19" s="2">
        <f>(Table1345[Terpakai]+Table1345[Staging])/Table1345[Qty Lokasi]</f>
        <v>0.82425117286178273</v>
      </c>
      <c r="H19" s="2">
        <f>Table1345[Max]-Table1345[Occupancy]</f>
        <v>0.17574882713821727</v>
      </c>
      <c r="I19" s="2">
        <v>1</v>
      </c>
    </row>
    <row r="20" spans="1:9">
      <c r="A20" s="1" t="s">
        <v>12</v>
      </c>
      <c r="B20" s="1">
        <v>43608</v>
      </c>
      <c r="C20" s="7">
        <v>2771</v>
      </c>
      <c r="D20" s="7">
        <v>2191</v>
      </c>
      <c r="E20" s="7">
        <v>573</v>
      </c>
      <c r="F20" s="7">
        <v>7</v>
      </c>
      <c r="G20" s="2">
        <f>(Table1345[Terpakai]+Table1345[Staging])/Table1345[Qty Lokasi]</f>
        <v>0.79321544568747748</v>
      </c>
      <c r="H20" s="2">
        <f>Table1345[Max]-Table1345[Occupancy]</f>
        <v>0.20678455431252252</v>
      </c>
      <c r="I20" s="2">
        <v>1</v>
      </c>
    </row>
    <row r="21" spans="1:9">
      <c r="A21" s="1" t="s">
        <v>12</v>
      </c>
      <c r="B21" s="1">
        <v>43609</v>
      </c>
      <c r="C21" s="7">
        <v>2771</v>
      </c>
      <c r="D21" s="7">
        <v>2112</v>
      </c>
      <c r="E21" s="7">
        <v>652</v>
      </c>
      <c r="F21" s="7">
        <v>7</v>
      </c>
      <c r="G21" s="2">
        <f>(Table1345[Terpakai]+Table1345[Staging])/Table1345[Qty Lokasi]</f>
        <v>0.76470588235294112</v>
      </c>
      <c r="H21" s="2">
        <f>Table1345[Max]-Table1345[Occupancy]</f>
        <v>0.23529411764705888</v>
      </c>
      <c r="I21" s="2">
        <v>1</v>
      </c>
    </row>
    <row r="22" spans="1:9">
      <c r="A22" s="1" t="s">
        <v>12</v>
      </c>
      <c r="B22" s="1">
        <v>43610</v>
      </c>
      <c r="C22" s="7">
        <v>2771</v>
      </c>
      <c r="D22" s="7">
        <v>1980</v>
      </c>
      <c r="E22" s="7">
        <v>782</v>
      </c>
      <c r="F22" s="7">
        <v>9</v>
      </c>
      <c r="G22" s="2">
        <f>(Table1345[Terpakai]+Table1345[Staging])/Table1345[Qty Lokasi]</f>
        <v>0.71779141104294475</v>
      </c>
      <c r="H22" s="2">
        <f>Table1345[Max]-Table1345[Occupancy]</f>
        <v>0.28220858895705525</v>
      </c>
      <c r="I22" s="2">
        <v>1</v>
      </c>
    </row>
    <row r="23" spans="1:9">
      <c r="A23" s="1" t="s">
        <v>12</v>
      </c>
      <c r="B23" s="1">
        <v>43612</v>
      </c>
      <c r="C23" s="7">
        <v>2771</v>
      </c>
      <c r="D23" s="7">
        <v>1980</v>
      </c>
      <c r="E23" s="7">
        <v>787</v>
      </c>
      <c r="F23" s="7">
        <v>4</v>
      </c>
      <c r="G23" s="2">
        <f>(Table1345[Terpakai]+Table1345[Staging])/Table1345[Qty Lokasi]</f>
        <v>0.71598700830025264</v>
      </c>
      <c r="H23" s="2">
        <f>Table1345[Max]-Table1345[Occupancy]</f>
        <v>0.28401299169974736</v>
      </c>
      <c r="I23" s="2">
        <v>1</v>
      </c>
    </row>
    <row r="24" spans="1:9">
      <c r="A24" s="1" t="s">
        <v>12</v>
      </c>
      <c r="B24" s="1">
        <v>43613</v>
      </c>
      <c r="C24" s="7">
        <v>2771</v>
      </c>
      <c r="D24" s="7">
        <v>1948</v>
      </c>
      <c r="E24" s="7">
        <v>796</v>
      </c>
      <c r="F24" s="7">
        <v>27</v>
      </c>
      <c r="G24" s="2">
        <f>(Table1345[Terpakai]+Table1345[Staging])/Table1345[Qty Lokasi]</f>
        <v>0.71273908336340674</v>
      </c>
      <c r="H24" s="2">
        <f>Table1345[Max]-Table1345[Occupancy]</f>
        <v>0.28726091663659326</v>
      </c>
      <c r="I24" s="2">
        <v>1</v>
      </c>
    </row>
    <row r="25" spans="1:9">
      <c r="A25" s="1" t="s">
        <v>12</v>
      </c>
      <c r="B25" s="1">
        <v>43614</v>
      </c>
      <c r="C25" s="7">
        <v>2771</v>
      </c>
      <c r="D25" s="7">
        <v>1861</v>
      </c>
      <c r="E25" s="7">
        <v>556</v>
      </c>
      <c r="F25" s="7">
        <v>354</v>
      </c>
      <c r="G25" s="2">
        <f>(Table1345[Terpakai]+Table1345[Staging])/Table1345[Qty Lokasi]</f>
        <v>0.79935041501263082</v>
      </c>
      <c r="H25" s="2">
        <f>Table1345[Max]-Table1345[Occupancy]</f>
        <v>0.20064958498736918</v>
      </c>
      <c r="I25" s="2">
        <v>1</v>
      </c>
    </row>
    <row r="26" spans="1:9">
      <c r="A26" s="1" t="s">
        <v>12</v>
      </c>
      <c r="B26" s="1">
        <v>43615</v>
      </c>
      <c r="C26" s="7">
        <v>2771</v>
      </c>
      <c r="D26" s="7">
        <v>2035</v>
      </c>
      <c r="E26" s="7">
        <v>687</v>
      </c>
      <c r="F26" s="7">
        <v>49</v>
      </c>
      <c r="G26" s="2">
        <f>(Table1345[Terpakai]+Table1345[Staging])/Table1345[Qty Lokasi]</f>
        <v>0.752075063154096</v>
      </c>
      <c r="H26" s="2">
        <f>Table1345[Max]-Table1345[Occupancy]</f>
        <v>0.247924936845904</v>
      </c>
      <c r="I26" s="2">
        <v>1</v>
      </c>
    </row>
    <row r="27" spans="1:9" ht="15.75">
      <c r="A27" s="1" t="s">
        <v>12</v>
      </c>
      <c r="B27" s="1">
        <v>43627</v>
      </c>
      <c r="C27" s="8">
        <v>2771</v>
      </c>
      <c r="D27" s="8">
        <v>2023</v>
      </c>
      <c r="E27" s="8">
        <v>704</v>
      </c>
      <c r="F27" s="8">
        <v>44</v>
      </c>
      <c r="G27" s="2">
        <f>(Table1345[Terpakai]+Table1345[Staging])/Table1345[Qty Lokasi]</f>
        <v>0.74594009382894266</v>
      </c>
      <c r="H27" s="2">
        <f>Table1345[Max]-Table1345[Occupancy]</f>
        <v>0.25405990617105734</v>
      </c>
      <c r="I27" s="2">
        <v>1</v>
      </c>
    </row>
    <row r="28" spans="1:9" ht="15.75">
      <c r="A28" s="1" t="s">
        <v>12</v>
      </c>
      <c r="B28" s="1">
        <v>43628</v>
      </c>
      <c r="C28" s="8">
        <v>2771</v>
      </c>
      <c r="D28" s="8">
        <v>2026</v>
      </c>
      <c r="E28" s="8">
        <v>607</v>
      </c>
      <c r="F28" s="8">
        <v>138</v>
      </c>
      <c r="G28" s="2">
        <f>(Table1345[Terpakai]+Table1345[Staging])/Table1345[Qty Lokasi]</f>
        <v>0.78094550703717069</v>
      </c>
      <c r="H28" s="2">
        <f>Table1345[Max]-Table1345[Occupancy]</f>
        <v>0.21905449296282931</v>
      </c>
      <c r="I28" s="2">
        <v>1</v>
      </c>
    </row>
    <row r="29" spans="1:9" ht="15.75">
      <c r="A29" s="1" t="s">
        <v>12</v>
      </c>
      <c r="B29" s="1">
        <v>43629</v>
      </c>
      <c r="C29" s="8">
        <v>2771</v>
      </c>
      <c r="D29" s="8">
        <v>2182</v>
      </c>
      <c r="E29" s="8">
        <v>385</v>
      </c>
      <c r="F29" s="8">
        <v>204</v>
      </c>
      <c r="G29" s="2">
        <f>(Table1345[Terpakai]+Table1345[Staging])/Table1345[Qty Lokasi]</f>
        <v>0.86106098881270299</v>
      </c>
      <c r="H29" s="2">
        <f>Table1345[Max]-Table1345[Occupancy]</f>
        <v>0.13893901118729701</v>
      </c>
      <c r="I29" s="2">
        <v>1</v>
      </c>
    </row>
    <row r="30" spans="1:9" ht="15.75">
      <c r="A30" s="1" t="s">
        <v>12</v>
      </c>
      <c r="B30" s="1">
        <v>43630</v>
      </c>
      <c r="C30" s="8">
        <v>2771</v>
      </c>
      <c r="D30" s="8">
        <v>2189</v>
      </c>
      <c r="E30" s="8">
        <v>382</v>
      </c>
      <c r="F30" s="8">
        <v>200</v>
      </c>
      <c r="G30" s="2">
        <f>(Table1345[Terpakai]+Table1345[Staging])/Table1345[Qty Lokasi]</f>
        <v>0.86214363045831832</v>
      </c>
      <c r="H30" s="2">
        <f>Table1345[Max]-Table1345[Occupancy]</f>
        <v>0.13785636954168168</v>
      </c>
      <c r="I30" s="2">
        <v>1</v>
      </c>
    </row>
    <row r="31" spans="1:9" ht="15.75">
      <c r="A31" s="1" t="s">
        <v>12</v>
      </c>
      <c r="B31" s="1">
        <v>43631</v>
      </c>
      <c r="C31" s="8">
        <v>2771</v>
      </c>
      <c r="D31" s="8">
        <v>2256</v>
      </c>
      <c r="E31" s="8">
        <v>411</v>
      </c>
      <c r="F31" s="8">
        <v>104</v>
      </c>
      <c r="G31" s="2">
        <f>(Table1345[Terpakai]+Table1345[Staging])/Table1345[Qty Lokasi]</f>
        <v>0.85167809455070376</v>
      </c>
      <c r="H31" s="2">
        <f>Table1345[Max]-Table1345[Occupancy]</f>
        <v>0.14832190544929624</v>
      </c>
      <c r="I31" s="2">
        <v>1</v>
      </c>
    </row>
    <row r="32" spans="1:9" ht="15.75">
      <c r="A32" s="1" t="s">
        <v>12</v>
      </c>
      <c r="B32" s="1">
        <v>43633</v>
      </c>
      <c r="C32" s="8">
        <v>2771</v>
      </c>
      <c r="D32" s="8">
        <v>2190</v>
      </c>
      <c r="E32" s="8">
        <v>537</v>
      </c>
      <c r="F32" s="8">
        <v>44</v>
      </c>
      <c r="G32" s="2">
        <f>(Table1345[Terpakai]+Table1345[Staging])/Table1345[Qty Lokasi]</f>
        <v>0.80620714543486105</v>
      </c>
      <c r="H32" s="2">
        <f>Table1345[Max]-Table1345[Occupancy]</f>
        <v>0.19379285456513895</v>
      </c>
      <c r="I32" s="2">
        <v>1</v>
      </c>
    </row>
    <row r="33" spans="1:9" ht="15.75">
      <c r="A33" s="1" t="s">
        <v>12</v>
      </c>
      <c r="B33" s="1">
        <v>43634</v>
      </c>
      <c r="C33" s="8">
        <v>2771</v>
      </c>
      <c r="D33" s="8">
        <v>2118</v>
      </c>
      <c r="E33" s="8">
        <v>557</v>
      </c>
      <c r="F33" s="8">
        <v>96</v>
      </c>
      <c r="G33" s="2">
        <f>(Table1345[Terpakai]+Table1345[Staging])/Table1345[Qty Lokasi]</f>
        <v>0.79898953446409238</v>
      </c>
      <c r="H33" s="2">
        <f>Table1345[Max]-Table1345[Occupancy]</f>
        <v>0.20101046553590762</v>
      </c>
      <c r="I33" s="2">
        <v>1</v>
      </c>
    </row>
    <row r="34" spans="1:9" ht="15.75">
      <c r="A34" s="1" t="s">
        <v>12</v>
      </c>
      <c r="B34" s="1">
        <v>43635</v>
      </c>
      <c r="C34" s="8">
        <v>2771</v>
      </c>
      <c r="D34" s="8">
        <v>2136</v>
      </c>
      <c r="E34" s="8">
        <v>416</v>
      </c>
      <c r="F34" s="8">
        <v>219</v>
      </c>
      <c r="G34" s="2">
        <f>(Table1345[Terpakai]+Table1345[Staging])/Table1345[Qty Lokasi]</f>
        <v>0.84987369180801153</v>
      </c>
      <c r="H34" s="2">
        <f>Table1345[Max]-Table1345[Occupancy]</f>
        <v>0.15012630819198847</v>
      </c>
      <c r="I34" s="2">
        <v>1</v>
      </c>
    </row>
    <row r="35" spans="1:9" ht="15.75">
      <c r="A35" s="1" t="s">
        <v>12</v>
      </c>
      <c r="B35" s="1">
        <v>43636</v>
      </c>
      <c r="C35" s="8">
        <v>2771</v>
      </c>
      <c r="D35" s="8">
        <v>2112</v>
      </c>
      <c r="E35" s="8">
        <v>560</v>
      </c>
      <c r="F35" s="8">
        <v>99</v>
      </c>
      <c r="G35" s="2">
        <f>(Table1345[Terpakai]+Table1345[Staging])/Table1345[Qty Lokasi]</f>
        <v>0.79790689281847704</v>
      </c>
      <c r="H35" s="2">
        <f>Table1345[Max]-Table1345[Occupancy]</f>
        <v>0.20209310718152296</v>
      </c>
      <c r="I35" s="2">
        <v>1</v>
      </c>
    </row>
    <row r="36" spans="1:9" ht="15.75">
      <c r="A36" s="1" t="s">
        <v>12</v>
      </c>
      <c r="B36" s="1">
        <v>43637</v>
      </c>
      <c r="C36" s="8">
        <v>2771</v>
      </c>
      <c r="D36" s="8">
        <v>2120</v>
      </c>
      <c r="E36" s="8">
        <v>627</v>
      </c>
      <c r="F36" s="8">
        <v>24</v>
      </c>
      <c r="G36" s="2">
        <f>(Table1345[Terpakai]+Table1345[Staging])/Table1345[Qty Lokasi]</f>
        <v>0.77372789606640202</v>
      </c>
      <c r="H36" s="2">
        <f>Table1345[Max]-Table1345[Occupancy]</f>
        <v>0.22627210393359798</v>
      </c>
      <c r="I36" s="2">
        <v>1</v>
      </c>
    </row>
    <row r="37" spans="1:9" ht="15.75">
      <c r="A37" s="1" t="s">
        <v>12</v>
      </c>
      <c r="B37" s="1">
        <v>43640</v>
      </c>
      <c r="C37" s="8">
        <v>2771</v>
      </c>
      <c r="D37" s="8">
        <v>2027</v>
      </c>
      <c r="E37" s="8">
        <v>735</v>
      </c>
      <c r="F37" s="8">
        <v>9</v>
      </c>
      <c r="G37" s="2">
        <f>(Table1345[Terpakai]+Table1345[Staging])/Table1345[Qty Lokasi]</f>
        <v>0.73475279682425121</v>
      </c>
      <c r="H37" s="2">
        <f>Table1345[Max]-Table1345[Occupancy]</f>
        <v>0.26524720317574879</v>
      </c>
      <c r="I37" s="2">
        <v>1</v>
      </c>
    </row>
    <row r="38" spans="1:9" ht="15.75">
      <c r="A38" s="1" t="s">
        <v>12</v>
      </c>
      <c r="B38" s="1">
        <v>43641</v>
      </c>
      <c r="C38" s="8">
        <v>2771</v>
      </c>
      <c r="D38" s="8">
        <v>1826</v>
      </c>
      <c r="E38" s="8">
        <v>553</v>
      </c>
      <c r="F38" s="8">
        <v>392</v>
      </c>
      <c r="G38" s="9">
        <f>(Table1345[Terpakai]+Table1345[Staging])/Table1345[Qty Lokasi]</f>
        <v>0.80043305665824616</v>
      </c>
      <c r="H38" s="9">
        <f>Table1345[Max]-Table1345[Occupancy]</f>
        <v>0.19956694334175384</v>
      </c>
      <c r="I38" s="2">
        <v>1</v>
      </c>
    </row>
    <row r="39" spans="1:9" ht="15.75">
      <c r="A39" s="1" t="s">
        <v>12</v>
      </c>
      <c r="B39" s="1">
        <v>43642</v>
      </c>
      <c r="C39" s="10">
        <v>2771</v>
      </c>
      <c r="D39" s="10">
        <v>1849</v>
      </c>
      <c r="E39" s="10">
        <v>614</v>
      </c>
      <c r="F39" s="10">
        <v>308</v>
      </c>
      <c r="G39" s="9">
        <f>(Table1345[Terpakai]+Table1345[Staging])/Table1345[Qty Lokasi]</f>
        <v>0.77841934319740169</v>
      </c>
      <c r="H39" s="9">
        <f>Table1345[Max]-Table1345[Occupancy]</f>
        <v>0.22158065680259831</v>
      </c>
      <c r="I39" s="2">
        <v>1</v>
      </c>
    </row>
    <row r="40" spans="1:9" ht="15.75">
      <c r="A40" s="1" t="s">
        <v>12</v>
      </c>
      <c r="B40" s="1">
        <v>43643</v>
      </c>
      <c r="C40" s="11">
        <v>2771</v>
      </c>
      <c r="D40" s="11">
        <v>1999</v>
      </c>
      <c r="E40" s="11">
        <v>743</v>
      </c>
      <c r="F40" s="11">
        <v>29</v>
      </c>
      <c r="G40" s="9">
        <f>(Table1345[Terpakai]+Table1345[Staging])/Table1345[Qty Lokasi]</f>
        <v>0.73186575243594365</v>
      </c>
      <c r="H40" s="9">
        <f>Table1345[Max]-Table1345[Occupancy]</f>
        <v>0.26813424756405635</v>
      </c>
      <c r="I40" s="2">
        <v>1</v>
      </c>
    </row>
    <row r="41" spans="1:9">
      <c r="A41" s="1" t="s">
        <v>12</v>
      </c>
      <c r="B41" s="1">
        <v>43644</v>
      </c>
      <c r="C41" s="12">
        <v>2771</v>
      </c>
      <c r="D41" s="12">
        <v>1939</v>
      </c>
      <c r="E41" s="12">
        <v>803</v>
      </c>
      <c r="F41" s="12">
        <v>29</v>
      </c>
      <c r="G41" s="9">
        <f>(Table1345[Terpakai]+Table1345[Staging])/Table1345[Qty Lokasi]</f>
        <v>0.71021291952363763</v>
      </c>
      <c r="H41" s="9">
        <f>Table1345[Max]-Table1345[Occupancy]</f>
        <v>0.28978708047636237</v>
      </c>
      <c r="I41" s="2">
        <v>1</v>
      </c>
    </row>
    <row r="42" spans="1:9">
      <c r="A42" s="1" t="s">
        <v>12</v>
      </c>
      <c r="B42" s="1">
        <v>43647</v>
      </c>
      <c r="C42" s="15">
        <v>2771</v>
      </c>
      <c r="D42" s="15">
        <v>1827</v>
      </c>
      <c r="E42" s="15">
        <v>944</v>
      </c>
      <c r="F42" s="15">
        <v>0</v>
      </c>
      <c r="G42" s="9">
        <f>(Table1345[Terpakai]+Table1345[Staging])/Table1345[Qty Lokasi]</f>
        <v>0.65932876217971847</v>
      </c>
      <c r="H42" s="9">
        <f>Table1345[Max]-Table1345[Occupancy]</f>
        <v>0.34067123782028153</v>
      </c>
      <c r="I42" s="2">
        <v>1</v>
      </c>
    </row>
    <row r="43" spans="1:9">
      <c r="A43" s="1" t="s">
        <v>12</v>
      </c>
      <c r="B43" s="1">
        <v>43648</v>
      </c>
      <c r="C43" s="12">
        <v>2771</v>
      </c>
      <c r="D43" s="12">
        <v>1837</v>
      </c>
      <c r="E43" s="12">
        <v>647</v>
      </c>
      <c r="F43" s="12">
        <v>287</v>
      </c>
      <c r="G43" s="9">
        <f>(Table1345[Terpakai]+Table1345[Staging])/Table1345[Qty Lokasi]</f>
        <v>0.76651028509563335</v>
      </c>
      <c r="H43" s="9">
        <f>Table1345[Max]-Table1345[Occupancy]</f>
        <v>0.23348971490436665</v>
      </c>
      <c r="I43" s="2">
        <v>1</v>
      </c>
    </row>
    <row r="44" spans="1:9">
      <c r="A44" s="1" t="s">
        <v>12</v>
      </c>
      <c r="B44" s="1">
        <v>43649</v>
      </c>
      <c r="C44" s="12">
        <v>2771</v>
      </c>
      <c r="D44" s="12">
        <v>2032</v>
      </c>
      <c r="E44" s="12">
        <v>576</v>
      </c>
      <c r="F44" s="12">
        <v>163</v>
      </c>
      <c r="G44" s="9">
        <f>(Table1345[Terpakai]+Table1345[Staging])/Table1345[Qty Lokasi]</f>
        <v>0.79213280404186215</v>
      </c>
      <c r="H44" s="9">
        <f>Table1345[Max]-Table1345[Occupancy]</f>
        <v>0.20786719595813785</v>
      </c>
      <c r="I44" s="2">
        <v>1</v>
      </c>
    </row>
    <row r="45" spans="1:9">
      <c r="A45" s="1" t="s">
        <v>12</v>
      </c>
      <c r="B45" s="1">
        <v>43650</v>
      </c>
      <c r="C45" s="12">
        <v>2771</v>
      </c>
      <c r="D45" s="12">
        <v>2070</v>
      </c>
      <c r="E45" s="12">
        <v>632</v>
      </c>
      <c r="F45" s="12">
        <v>69</v>
      </c>
      <c r="G45" s="9">
        <f>(Table1345[Terpakai]+Table1345[Staging])/Table1345[Qty Lokasi]</f>
        <v>0.7719234933237098</v>
      </c>
      <c r="H45" s="9">
        <f>Table1345[Max]-Table1345[Occupancy]</f>
        <v>0.2280765066762902</v>
      </c>
      <c r="I45" s="2">
        <v>1</v>
      </c>
    </row>
    <row r="46" spans="1:9">
      <c r="A46" s="1" t="s">
        <v>12</v>
      </c>
      <c r="B46" s="1">
        <v>43651</v>
      </c>
      <c r="C46" s="12">
        <v>2771</v>
      </c>
      <c r="D46" s="12">
        <v>2018</v>
      </c>
      <c r="E46" s="12">
        <v>665</v>
      </c>
      <c r="F46" s="12">
        <v>88</v>
      </c>
      <c r="G46" s="9">
        <f>(Table1345[Terpakai]+Table1345[Staging])/Table1345[Qty Lokasi]</f>
        <v>0.76001443522194156</v>
      </c>
      <c r="H46" s="9">
        <f>Table1345[Max]-Table1345[Occupancy]</f>
        <v>0.23998556477805844</v>
      </c>
      <c r="I46" s="2">
        <v>1</v>
      </c>
    </row>
    <row r="47" spans="1:9">
      <c r="A47" s="1" t="s">
        <v>12</v>
      </c>
      <c r="B47" s="1">
        <v>43654</v>
      </c>
      <c r="C47" s="3">
        <v>2771</v>
      </c>
      <c r="D47" s="3">
        <v>1998</v>
      </c>
      <c r="E47" s="3">
        <v>761</v>
      </c>
      <c r="F47" s="12">
        <v>12</v>
      </c>
      <c r="G47" s="9">
        <f>(Table1345[Terpakai]+Table1345[Staging])/Table1345[Qty Lokasi]</f>
        <v>0.72536990256225187</v>
      </c>
      <c r="H47" s="9">
        <f>Table1345[Max]-Table1345[Occupancy]</f>
        <v>0.27463009743774813</v>
      </c>
      <c r="I47" s="2">
        <v>1</v>
      </c>
    </row>
    <row r="48" spans="1:9">
      <c r="A48" s="1" t="s">
        <v>12</v>
      </c>
      <c r="B48" s="1">
        <v>43655</v>
      </c>
      <c r="C48" s="3">
        <v>2771</v>
      </c>
      <c r="D48" s="3">
        <v>2013</v>
      </c>
      <c r="E48" s="3">
        <v>589</v>
      </c>
      <c r="F48" s="12">
        <v>169</v>
      </c>
      <c r="G48" s="9">
        <f>(Table1345[Terpakai]+Table1345[Staging])/Table1345[Qty Lokasi]</f>
        <v>0.78744135691086248</v>
      </c>
      <c r="H48" s="9">
        <f>Table1345[Max]-Table1345[Occupancy]</f>
        <v>0.21255864308913752</v>
      </c>
      <c r="I48" s="2">
        <v>1</v>
      </c>
    </row>
    <row r="49" spans="1:9">
      <c r="A49" s="1" t="s">
        <v>12</v>
      </c>
      <c r="B49" s="1">
        <v>43656</v>
      </c>
      <c r="C49" s="3">
        <v>3031</v>
      </c>
      <c r="D49" s="3">
        <v>2074</v>
      </c>
      <c r="E49" s="3">
        <v>890</v>
      </c>
      <c r="F49" s="12">
        <v>67</v>
      </c>
      <c r="G49" s="9">
        <v>0.70636753546684261</v>
      </c>
      <c r="H49" s="9">
        <f>Table1345[Max]-Table1345[Occupancy]</f>
        <v>0.29363246453315739</v>
      </c>
      <c r="I49" s="2">
        <v>1</v>
      </c>
    </row>
    <row r="50" spans="1:9">
      <c r="A50" s="1" t="s">
        <v>12</v>
      </c>
      <c r="B50" s="1">
        <v>43657</v>
      </c>
      <c r="C50" s="3">
        <v>3057</v>
      </c>
      <c r="D50" s="3">
        <v>2054</v>
      </c>
      <c r="E50" s="3">
        <v>991</v>
      </c>
      <c r="F50" s="12">
        <v>12</v>
      </c>
      <c r="G50" s="9">
        <f>(Table1345[Terpakai]+Table1345[Staging])/Table1345[Qty Lokasi]</f>
        <v>0.67582597317631665</v>
      </c>
      <c r="H50" s="9">
        <f>Table1345[Max]-Table1345[Occupancy]</f>
        <v>0.32417402682368335</v>
      </c>
      <c r="I50" s="2">
        <v>1</v>
      </c>
    </row>
    <row r="51" spans="1:9">
      <c r="A51" s="1" t="s">
        <v>12</v>
      </c>
      <c r="B51" s="1">
        <v>43658</v>
      </c>
      <c r="C51" s="3">
        <v>3089</v>
      </c>
      <c r="D51" s="3">
        <v>2031</v>
      </c>
      <c r="E51" s="3">
        <v>1057</v>
      </c>
      <c r="F51" s="12">
        <v>1</v>
      </c>
      <c r="G51" s="9">
        <f>(Table1345[Terpakai]+Table1345[Staging])/Table1345[Qty Lokasi]</f>
        <v>0.6578180640984137</v>
      </c>
      <c r="H51" s="9">
        <f>Table1345[Max]-Table1345[Occupancy]</f>
        <v>0.3421819359015863</v>
      </c>
      <c r="I51" s="2">
        <v>1</v>
      </c>
    </row>
    <row r="52" spans="1:9">
      <c r="A52" s="1" t="s">
        <v>12</v>
      </c>
      <c r="B52" s="1">
        <v>43661</v>
      </c>
      <c r="C52" s="3">
        <v>3149</v>
      </c>
      <c r="D52" s="3">
        <v>1952</v>
      </c>
      <c r="E52" s="3">
        <v>1196</v>
      </c>
      <c r="F52" s="12">
        <v>1</v>
      </c>
      <c r="G52" s="9">
        <f>(Table1345[Terpakai]+Table1345[Staging])/Table1345[Qty Lokasi]</f>
        <v>0.62019688790092098</v>
      </c>
      <c r="H52" s="9">
        <f>Table1345[Max]-Table1345[Occupancy]</f>
        <v>0.37980311209907902</v>
      </c>
      <c r="I52" s="2">
        <v>1</v>
      </c>
    </row>
    <row r="53" spans="1:9">
      <c r="A53" s="1" t="s">
        <v>12</v>
      </c>
      <c r="B53" s="1">
        <v>43662</v>
      </c>
      <c r="C53" s="3">
        <v>3149</v>
      </c>
      <c r="D53" s="3">
        <v>2056</v>
      </c>
      <c r="E53" s="3">
        <v>932</v>
      </c>
      <c r="F53" s="12">
        <v>161</v>
      </c>
      <c r="G53" s="9">
        <f>(Table1345[Terpakai]+Table1345[Staging])/Table1345[Qty Lokasi]</f>
        <v>0.70403302635757381</v>
      </c>
      <c r="H53" s="9">
        <f>Table1345[Max]-Table1345[Occupancy]</f>
        <v>0.29596697364242619</v>
      </c>
      <c r="I53" s="2">
        <v>1</v>
      </c>
    </row>
    <row r="54" spans="1:9">
      <c r="A54" s="1" t="s">
        <v>12</v>
      </c>
      <c r="B54" s="1">
        <v>43663</v>
      </c>
      <c r="C54" s="3">
        <v>3149</v>
      </c>
      <c r="D54" s="3">
        <v>2160</v>
      </c>
      <c r="E54" s="3">
        <v>909</v>
      </c>
      <c r="F54" s="12">
        <v>80</v>
      </c>
      <c r="G54" s="9">
        <f>(Table1345[Terpakai]+Table1345[Staging])/Table1345[Qty Lokasi]</f>
        <v>0.71133693235947915</v>
      </c>
      <c r="H54" s="9">
        <f>Table1345[Max]-Table1345[Occupancy]</f>
        <v>0.28866306764052085</v>
      </c>
      <c r="I54" s="2">
        <v>1</v>
      </c>
    </row>
    <row r="55" spans="1:9">
      <c r="A55" s="1" t="s">
        <v>12</v>
      </c>
      <c r="B55" s="1">
        <v>43664</v>
      </c>
      <c r="C55" s="3">
        <v>3149</v>
      </c>
      <c r="D55" s="3">
        <v>2120</v>
      </c>
      <c r="E55" s="3">
        <v>912</v>
      </c>
      <c r="F55" s="12">
        <v>117</v>
      </c>
      <c r="G55" s="9">
        <f>(Table1345[Terpakai]+Table1345[Staging])/Table1345[Qty Lokasi]</f>
        <v>0.71038424896792629</v>
      </c>
      <c r="H55" s="9">
        <f>Table1345[Max]-Table1345[Occupancy]</f>
        <v>0.28961575103207371</v>
      </c>
      <c r="I55" s="2">
        <v>1</v>
      </c>
    </row>
    <row r="56" spans="1:9">
      <c r="A56" s="1" t="s">
        <v>12</v>
      </c>
      <c r="B56" s="1">
        <v>43665</v>
      </c>
      <c r="C56" s="3">
        <v>3149</v>
      </c>
      <c r="D56" s="3">
        <v>2158</v>
      </c>
      <c r="E56" s="3">
        <v>895</v>
      </c>
      <c r="F56" s="12">
        <v>96</v>
      </c>
      <c r="G56" s="9">
        <f>(Table1345[Terpakai]+Table1345[Staging])/Table1345[Qty Lokasi]</f>
        <v>0.71578278818672592</v>
      </c>
      <c r="H56" s="9">
        <f>Table1345[Max]-Table1345[Occupancy]</f>
        <v>0.28421721181327408</v>
      </c>
      <c r="I56" s="2">
        <v>1</v>
      </c>
    </row>
    <row r="57" spans="1:9">
      <c r="A57" s="1" t="s">
        <v>12</v>
      </c>
      <c r="B57" s="1">
        <v>43668</v>
      </c>
      <c r="C57" s="3">
        <v>3149</v>
      </c>
      <c r="D57" s="3">
        <v>2092</v>
      </c>
      <c r="E57" s="3">
        <v>1057</v>
      </c>
      <c r="F57" s="12">
        <v>0</v>
      </c>
      <c r="G57" s="9">
        <f>(Table1345[Terpakai]+Table1345[Staging])/Table1345[Qty Lokasi]</f>
        <v>0.66433788504287072</v>
      </c>
      <c r="H57" s="9">
        <f>Table1345[Max]-Table1345[Occupancy]</f>
        <v>0.33566211495712928</v>
      </c>
      <c r="I57" s="2">
        <v>1</v>
      </c>
    </row>
    <row r="58" spans="1:9">
      <c r="A58" s="1" t="s">
        <v>12</v>
      </c>
      <c r="B58" s="1">
        <v>43669</v>
      </c>
      <c r="C58" s="3">
        <v>3149</v>
      </c>
      <c r="D58" s="3">
        <v>1982</v>
      </c>
      <c r="E58" s="3">
        <v>883</v>
      </c>
      <c r="F58" s="12">
        <v>284</v>
      </c>
      <c r="G58" s="9">
        <f>(Table1345[Terpakai]+Table1345[Staging])/Table1345[Qty Lokasi]</f>
        <v>0.71959352175293745</v>
      </c>
      <c r="H58" s="9">
        <f>Table1345[Max]-Table1345[Occupancy]</f>
        <v>0.28040647824706255</v>
      </c>
      <c r="I58" s="2">
        <v>1</v>
      </c>
    </row>
    <row r="59" spans="1:9">
      <c r="A59" s="1" t="s">
        <v>12</v>
      </c>
      <c r="B59" s="1">
        <v>43670</v>
      </c>
      <c r="C59" s="3">
        <v>3149</v>
      </c>
      <c r="D59" s="3">
        <v>2574</v>
      </c>
      <c r="E59" s="3">
        <v>840</v>
      </c>
      <c r="F59" s="12">
        <v>202</v>
      </c>
      <c r="G59" s="9">
        <f>(Table1345[Terpakai]+Table1345[Staging])/Table1345[Qty Lokasi]</f>
        <v>0.88154969831692598</v>
      </c>
      <c r="H59" s="9">
        <f>Table1345[Max]-Table1345[Occupancy]</f>
        <v>0.11845030168307402</v>
      </c>
      <c r="I59" s="2">
        <v>1</v>
      </c>
    </row>
    <row r="60" spans="1:9">
      <c r="A60" s="1" t="s">
        <v>12</v>
      </c>
      <c r="B60" s="1">
        <v>43671</v>
      </c>
      <c r="C60" s="3">
        <v>3128</v>
      </c>
      <c r="D60" s="3">
        <v>2057</v>
      </c>
      <c r="E60" s="3">
        <v>869</v>
      </c>
      <c r="F60" s="12">
        <v>202</v>
      </c>
      <c r="G60" s="9">
        <f>(Table1345[Terpakai]+Table1345[Staging])/Table1345[Qty Lokasi]</f>
        <v>0.72218670076726343</v>
      </c>
      <c r="H60" s="9">
        <f>Table1345[Max]-Table1345[Occupancy]</f>
        <v>0.27781329923273657</v>
      </c>
      <c r="I60" s="2">
        <v>1</v>
      </c>
    </row>
    <row r="61" spans="1:9">
      <c r="A61" s="1" t="s">
        <v>12</v>
      </c>
      <c r="B61" s="1">
        <v>43672</v>
      </c>
      <c r="C61" s="3">
        <v>3128</v>
      </c>
      <c r="D61" s="3">
        <v>1999</v>
      </c>
      <c r="E61" s="3">
        <v>975</v>
      </c>
      <c r="F61" s="12">
        <v>154</v>
      </c>
      <c r="G61" s="9">
        <f>(Table1345[Terpakai]+Table1345[Staging])/Table1345[Qty Lokasi]</f>
        <v>0.6882992327365729</v>
      </c>
      <c r="H61" s="9">
        <f>Table1345[Max]-Table1345[Occupancy]</f>
        <v>0.3117007672634271</v>
      </c>
      <c r="I61" s="2">
        <v>1</v>
      </c>
    </row>
    <row r="62" spans="1:9">
      <c r="A62" s="1" t="s">
        <v>12</v>
      </c>
      <c r="B62" s="1">
        <v>43675</v>
      </c>
      <c r="C62" s="3">
        <v>3128</v>
      </c>
      <c r="D62" s="3">
        <v>1986</v>
      </c>
      <c r="E62" s="3">
        <v>1135</v>
      </c>
      <c r="F62" s="12">
        <v>7</v>
      </c>
      <c r="G62" s="9">
        <f>(Table1345[Terpakai]+Table1345[Staging])/Table1345[Qty Lokasi]</f>
        <v>0.63714833759590794</v>
      </c>
      <c r="H62" s="9">
        <f>Table1345[Max]-Table1345[Occupancy]</f>
        <v>0.36285166240409206</v>
      </c>
      <c r="I62" s="2">
        <v>1</v>
      </c>
    </row>
    <row r="63" spans="1:9">
      <c r="A63" s="1" t="s">
        <v>12</v>
      </c>
      <c r="B63" s="1">
        <v>43676</v>
      </c>
      <c r="C63" s="3">
        <v>3128</v>
      </c>
      <c r="D63" s="3">
        <v>1902</v>
      </c>
      <c r="E63" s="3">
        <v>954</v>
      </c>
      <c r="F63" s="12">
        <v>272</v>
      </c>
      <c r="G63" s="9">
        <f>(Table1345[Terpakai]+Table1345[Staging])/Table1345[Qty Lokasi]</f>
        <v>0.69501278772378516</v>
      </c>
      <c r="H63" s="9">
        <f>Table1345[Max]-Table1345[Occupancy]</f>
        <v>0.30498721227621484</v>
      </c>
      <c r="I63" s="2">
        <v>1</v>
      </c>
    </row>
    <row r="64" spans="1:9">
      <c r="A64" s="1" t="s">
        <v>12</v>
      </c>
      <c r="B64" s="1">
        <v>43677</v>
      </c>
      <c r="C64" s="3">
        <v>3128</v>
      </c>
      <c r="D64" s="3">
        <v>1902</v>
      </c>
      <c r="E64" s="3">
        <v>929</v>
      </c>
      <c r="F64" s="12">
        <v>297</v>
      </c>
      <c r="G64" s="9">
        <f>(Table1345[Terpakai]+Table1345[Staging])/Table1345[Qty Lokasi]</f>
        <v>0.70300511508951402</v>
      </c>
      <c r="H64" s="9">
        <f>Table1345[Max]-Table1345[Occupancy]</f>
        <v>0.29699488491048598</v>
      </c>
      <c r="I64" s="2">
        <v>1</v>
      </c>
    </row>
    <row r="65" spans="1:9">
      <c r="A65" s="1" t="s">
        <v>12</v>
      </c>
      <c r="B65" s="1">
        <v>43678</v>
      </c>
      <c r="C65" s="3">
        <v>3128</v>
      </c>
      <c r="D65" s="3">
        <v>2052</v>
      </c>
      <c r="E65" s="3">
        <v>1030</v>
      </c>
      <c r="F65" s="12">
        <v>46</v>
      </c>
      <c r="G65" s="9">
        <f>(Table1345[Terpakai]+Table1345[Staging])/Table1345[Qty Lokasi]</f>
        <v>0.67071611253196928</v>
      </c>
      <c r="H65" s="9">
        <f>Table1345[Max]-Table1345[Occupancy]</f>
        <v>0.32928388746803072</v>
      </c>
      <c r="I65" s="2">
        <v>1</v>
      </c>
    </row>
    <row r="66" spans="1:9">
      <c r="A66" s="1" t="s">
        <v>12</v>
      </c>
      <c r="B66" s="1">
        <v>43679</v>
      </c>
      <c r="C66" s="3">
        <v>2972</v>
      </c>
      <c r="D66" s="3">
        <v>1990</v>
      </c>
      <c r="E66" s="3">
        <v>890</v>
      </c>
      <c r="F66" s="12">
        <v>92</v>
      </c>
      <c r="G66" s="9">
        <f>(Table1345[Terpakai]+Table1345[Staging])/Table1345[Qty Lokasi]</f>
        <v>0.7005383580080754</v>
      </c>
      <c r="H66" s="9">
        <f>Table1345[Max]-Table1345[Occupancy]</f>
        <v>0.2994616419919246</v>
      </c>
      <c r="I66" s="2">
        <v>1</v>
      </c>
    </row>
    <row r="67" spans="1:9">
      <c r="A67" s="1" t="s">
        <v>12</v>
      </c>
      <c r="B67" s="1">
        <v>43682</v>
      </c>
      <c r="C67" s="3">
        <v>2972</v>
      </c>
      <c r="D67" s="3">
        <v>1873</v>
      </c>
      <c r="E67" s="3">
        <v>1095</v>
      </c>
      <c r="F67" s="12">
        <v>4</v>
      </c>
      <c r="G67" s="9">
        <f>(Table1345[Terpakai]+Table1345[Staging])/Table1345[Qty Lokasi]</f>
        <v>0.63156123822341859</v>
      </c>
      <c r="H67" s="9">
        <f>Table1345[Max]-Table1345[Occupancy]</f>
        <v>0.36843876177658141</v>
      </c>
      <c r="I67" s="2">
        <v>1</v>
      </c>
    </row>
    <row r="68" spans="1:9">
      <c r="A68" s="1" t="s">
        <v>12</v>
      </c>
      <c r="B68" s="1">
        <v>43683</v>
      </c>
      <c r="C68" s="3">
        <v>2972</v>
      </c>
      <c r="D68" s="3">
        <v>1909</v>
      </c>
      <c r="E68" s="3">
        <v>817</v>
      </c>
      <c r="F68" s="12">
        <v>246</v>
      </c>
      <c r="G68" s="9">
        <f>(Table1345[Terpakai]+Table1345[Staging])/Table1345[Qty Lokasi]</f>
        <v>0.7251009421265141</v>
      </c>
      <c r="H68" s="9">
        <f>Table1345[Max]-Table1345[Occupancy]</f>
        <v>0.2748990578734859</v>
      </c>
      <c r="I68" s="2">
        <v>1</v>
      </c>
    </row>
    <row r="69" spans="1:9">
      <c r="A69" s="1" t="s">
        <v>12</v>
      </c>
      <c r="B69" s="1">
        <v>43684</v>
      </c>
      <c r="C69" s="3">
        <v>2972</v>
      </c>
      <c r="D69" s="3">
        <v>1876</v>
      </c>
      <c r="E69" s="3">
        <v>662</v>
      </c>
      <c r="F69" s="12">
        <v>434</v>
      </c>
      <c r="G69" s="9">
        <f>(Table1345[Terpakai]+Table1345[Staging])/Table1345[Qty Lokasi]</f>
        <v>0.7772543741588156</v>
      </c>
      <c r="H69" s="9">
        <f>Table1345[Max]-Table1345[Occupancy]</f>
        <v>0.2227456258411844</v>
      </c>
      <c r="I69" s="2">
        <v>1</v>
      </c>
    </row>
    <row r="70" spans="1:9">
      <c r="A70" s="1" t="s">
        <v>12</v>
      </c>
      <c r="B70" s="1">
        <v>43685</v>
      </c>
      <c r="C70" s="3">
        <v>2972</v>
      </c>
      <c r="D70" s="3">
        <v>1987</v>
      </c>
      <c r="E70" s="3">
        <v>554</v>
      </c>
      <c r="F70" s="12">
        <v>431</v>
      </c>
      <c r="G70" s="9">
        <f>(Table1345[Terpakai]+Table1345[Staging])/Table1345[Qty Lokasi]</f>
        <v>0.81359353970390313</v>
      </c>
      <c r="H70" s="9">
        <f>Table1345[Max]-Table1345[Occupancy]</f>
        <v>0.18640646029609687</v>
      </c>
      <c r="I70" s="2">
        <v>1</v>
      </c>
    </row>
    <row r="71" spans="1:9">
      <c r="A71" s="1" t="s">
        <v>12</v>
      </c>
      <c r="B71" s="1">
        <v>43686</v>
      </c>
      <c r="C71" s="3">
        <v>2972</v>
      </c>
      <c r="D71" s="3">
        <v>1999</v>
      </c>
      <c r="E71" s="3">
        <v>717</v>
      </c>
      <c r="F71" s="12">
        <v>256</v>
      </c>
      <c r="G71" s="9">
        <f>(Table1345[Terpakai]+Table1345[Staging])/Table1345[Qty Lokasi]</f>
        <v>0.75874831763122474</v>
      </c>
      <c r="H71" s="9">
        <f>Table1345[Max]-Table1345[Occupancy]</f>
        <v>0.24125168236877526</v>
      </c>
      <c r="I71" s="2">
        <v>1</v>
      </c>
    </row>
    <row r="72" spans="1:9">
      <c r="A72" s="1" t="s">
        <v>12</v>
      </c>
      <c r="B72" s="1">
        <v>43690</v>
      </c>
      <c r="C72" s="3">
        <v>2972</v>
      </c>
      <c r="D72" s="3">
        <v>2088</v>
      </c>
      <c r="E72" s="3">
        <v>878</v>
      </c>
      <c r="F72" s="12">
        <v>6</v>
      </c>
      <c r="G72" s="9">
        <f>(Table1345[Terpakai]+Table1345[Staging])/Table1345[Qty Lokasi]</f>
        <v>0.70457604306864063</v>
      </c>
      <c r="H72" s="9">
        <f>Table1345[Max]-Table1345[Occupancy]</f>
        <v>0.29542395693135937</v>
      </c>
      <c r="I72" s="2">
        <v>1</v>
      </c>
    </row>
    <row r="73" spans="1:9">
      <c r="A73" s="1" t="s">
        <v>12</v>
      </c>
      <c r="B73" s="1">
        <v>43691</v>
      </c>
      <c r="C73" s="3">
        <v>2972</v>
      </c>
      <c r="D73" s="3">
        <v>2134</v>
      </c>
      <c r="E73" s="3">
        <v>688</v>
      </c>
      <c r="F73" s="12">
        <v>150</v>
      </c>
      <c r="G73" s="9">
        <f>(Table1345[Terpakai]+Table1345[Staging])/Table1345[Qty Lokasi]</f>
        <v>0.76850605652759085</v>
      </c>
      <c r="H73" s="9">
        <f>Table1345[Max]-Table1345[Occupancy]</f>
        <v>0.23149394347240915</v>
      </c>
      <c r="I73" s="2">
        <v>1</v>
      </c>
    </row>
    <row r="74" spans="1:9">
      <c r="A74" s="1" t="s">
        <v>12</v>
      </c>
      <c r="B74" s="1">
        <v>43692</v>
      </c>
      <c r="C74" s="3">
        <v>2972</v>
      </c>
      <c r="D74" s="3">
        <v>2097</v>
      </c>
      <c r="E74" s="3">
        <v>430</v>
      </c>
      <c r="F74" s="12">
        <v>445</v>
      </c>
      <c r="G74" s="9">
        <f>(Table1345[Terpakai]+Table1345[Staging])/Table1345[Qty Lokasi]</f>
        <v>0.85531628532974424</v>
      </c>
      <c r="H74" s="9">
        <f>Table1345[Max]-Table1345[Occupancy]</f>
        <v>0.14468371467025576</v>
      </c>
      <c r="I74" s="2">
        <v>1</v>
      </c>
    </row>
    <row r="75" spans="1:9">
      <c r="A75" s="1" t="s">
        <v>12</v>
      </c>
      <c r="B75" s="1">
        <v>43693</v>
      </c>
      <c r="C75" s="3">
        <v>2972</v>
      </c>
      <c r="D75" s="3">
        <v>2059</v>
      </c>
      <c r="E75" s="3">
        <v>413</v>
      </c>
      <c r="F75" s="12">
        <v>500</v>
      </c>
      <c r="G75" s="9">
        <f>(Table1345[Terpakai]+Table1345[Staging])/Table1345[Qty Lokasi]</f>
        <v>0.86103633916554512</v>
      </c>
      <c r="H75" s="9">
        <f>Table1345[Max]-Table1345[Occupancy]</f>
        <v>0.13896366083445488</v>
      </c>
      <c r="I75" s="2">
        <v>1</v>
      </c>
    </row>
    <row r="76" spans="1:9">
      <c r="A76" s="1" t="s">
        <v>12</v>
      </c>
      <c r="B76" s="1">
        <v>43696</v>
      </c>
      <c r="C76" s="3">
        <v>2972</v>
      </c>
      <c r="D76" s="3">
        <v>2089</v>
      </c>
      <c r="E76" s="3">
        <v>625</v>
      </c>
      <c r="F76" s="12">
        <v>258</v>
      </c>
      <c r="G76" s="9">
        <f>(Table1345[Terpakai]+Table1345[Staging])/Table1345[Qty Lokasi]</f>
        <v>0.7897039030955586</v>
      </c>
      <c r="H76" s="9">
        <f>Table1345[Max]-Table1345[Occupancy]</f>
        <v>0.2102960969044414</v>
      </c>
      <c r="I76" s="2">
        <v>1</v>
      </c>
    </row>
    <row r="77" spans="1:9">
      <c r="A77" s="1" t="s">
        <v>12</v>
      </c>
      <c r="B77" s="1">
        <v>43697</v>
      </c>
      <c r="C77" s="3">
        <v>2972</v>
      </c>
      <c r="D77" s="3">
        <v>2162</v>
      </c>
      <c r="E77" s="3">
        <v>382</v>
      </c>
      <c r="F77" s="12">
        <v>428</v>
      </c>
      <c r="G77" s="9">
        <f>(Table1345[Terpakai]+Table1345[Staging])/Table1345[Qty Lokasi]</f>
        <v>0.87146702557200539</v>
      </c>
      <c r="H77" s="9">
        <f>Table1345[Max]-Table1345[Occupancy]</f>
        <v>0.12853297442799461</v>
      </c>
      <c r="I77" s="2">
        <v>1</v>
      </c>
    </row>
    <row r="78" spans="1:9">
      <c r="A78" s="1" t="s">
        <v>12</v>
      </c>
      <c r="B78" s="1">
        <v>43698</v>
      </c>
      <c r="C78" s="3">
        <v>2972</v>
      </c>
      <c r="D78" s="3">
        <v>2211</v>
      </c>
      <c r="E78" s="3">
        <v>250</v>
      </c>
      <c r="F78" s="12">
        <v>511</v>
      </c>
      <c r="G78" s="9">
        <f>(Table1345[Terpakai]+Table1345[Staging])/Table1345[Qty Lokasi]</f>
        <v>0.9158815612382234</v>
      </c>
      <c r="H78" s="9">
        <f>Table1345[Max]-Table1345[Occupancy]</f>
        <v>8.4118438761776604E-2</v>
      </c>
      <c r="I78" s="2">
        <v>1</v>
      </c>
    </row>
    <row r="79" spans="1:9">
      <c r="A79" s="1" t="s">
        <v>12</v>
      </c>
      <c r="B79" s="1">
        <v>43699</v>
      </c>
      <c r="C79" s="3">
        <v>2972</v>
      </c>
      <c r="D79" s="3">
        <v>2295</v>
      </c>
      <c r="E79" s="3">
        <v>212</v>
      </c>
      <c r="F79" s="12">
        <v>465</v>
      </c>
      <c r="G79" s="9">
        <f>(Table1345[Terpakai]+Table1345[Staging])/Table1345[Qty Lokasi]</f>
        <v>0.92866756393001348</v>
      </c>
      <c r="H79" s="9">
        <f>Table1345[Max]-Table1345[Occupancy]</f>
        <v>7.1332436069986516E-2</v>
      </c>
      <c r="I79" s="2">
        <v>1</v>
      </c>
    </row>
    <row r="80" spans="1:9">
      <c r="A80" s="1" t="s">
        <v>12</v>
      </c>
      <c r="B80" s="1">
        <v>43700</v>
      </c>
      <c r="C80" s="3">
        <v>2972</v>
      </c>
      <c r="D80" s="3">
        <v>2025</v>
      </c>
      <c r="E80" s="3">
        <v>688</v>
      </c>
      <c r="F80" s="12">
        <v>259</v>
      </c>
      <c r="G80" s="9">
        <f>(Table1345[Terpakai]+Table1345[Staging])/Table1345[Qty Lokasi]</f>
        <v>0.76850605652759085</v>
      </c>
      <c r="H80" s="9">
        <f>Table1345[Max]-Table1345[Occupancy]</f>
        <v>0.23149394347240915</v>
      </c>
      <c r="I80" s="2">
        <v>1</v>
      </c>
    </row>
    <row r="81" spans="1:9">
      <c r="A81" s="1" t="s">
        <v>12</v>
      </c>
      <c r="B81" s="1">
        <v>43703</v>
      </c>
      <c r="C81" s="3">
        <v>2972</v>
      </c>
      <c r="D81" s="3">
        <v>1982</v>
      </c>
      <c r="E81" s="3">
        <v>739</v>
      </c>
      <c r="F81" s="12">
        <v>251</v>
      </c>
      <c r="G81" s="9">
        <f>(Table1345[Terpakai]+Table1345[Staging])/Table1345[Qty Lokasi]</f>
        <v>0.75134589502018845</v>
      </c>
      <c r="H81" s="9">
        <f>Table1345[Max]-Table1345[Occupancy]</f>
        <v>0.24865410497981155</v>
      </c>
      <c r="I81" s="2">
        <v>1</v>
      </c>
    </row>
    <row r="82" spans="1:9">
      <c r="A82" s="1" t="s">
        <v>12</v>
      </c>
      <c r="B82" s="1">
        <v>43704</v>
      </c>
      <c r="C82" s="3">
        <v>2972</v>
      </c>
      <c r="D82" s="3">
        <v>2395</v>
      </c>
      <c r="E82" s="3">
        <v>213</v>
      </c>
      <c r="F82" s="12">
        <v>364</v>
      </c>
      <c r="G82" s="9">
        <f>(Table1345[Terpakai]+Table1345[Staging])/Table1345[Qty Lokasi]</f>
        <v>0.9283310901749664</v>
      </c>
      <c r="H82" s="9">
        <f>Table1345[Max]-Table1345[Occupancy]</f>
        <v>7.16689098250336E-2</v>
      </c>
      <c r="I82" s="2">
        <v>1</v>
      </c>
    </row>
    <row r="83" spans="1:9">
      <c r="A83" s="1" t="s">
        <v>12</v>
      </c>
      <c r="B83" s="1">
        <v>43705</v>
      </c>
      <c r="C83" s="3">
        <v>2972</v>
      </c>
      <c r="D83" s="3">
        <v>2411</v>
      </c>
      <c r="E83" s="3">
        <v>136</v>
      </c>
      <c r="F83" s="12">
        <v>425</v>
      </c>
      <c r="G83" s="9">
        <f>(Table1345[Terpakai]+Table1345[Staging])/Table1345[Qty Lokasi]</f>
        <v>0.95423956931359355</v>
      </c>
      <c r="H83" s="9">
        <f>Table1345[Max]-Table1345[Occupancy]</f>
        <v>4.576043068640645E-2</v>
      </c>
      <c r="I83" s="2">
        <v>1</v>
      </c>
    </row>
    <row r="84" spans="1:9">
      <c r="A84" s="1" t="s">
        <v>12</v>
      </c>
      <c r="B84" s="1">
        <v>43706</v>
      </c>
      <c r="C84" s="3">
        <v>2972</v>
      </c>
      <c r="D84" s="3">
        <v>2375</v>
      </c>
      <c r="E84" s="3">
        <v>328</v>
      </c>
      <c r="F84" s="12">
        <v>269</v>
      </c>
      <c r="G84" s="9">
        <f>(Table1345[Terpakai]+Table1345[Staging])/Table1345[Qty Lokasi]</f>
        <v>0.88963660834454916</v>
      </c>
      <c r="H84" s="9">
        <f>Table1345[Max]-Table1345[Occupancy]</f>
        <v>0.11036339165545084</v>
      </c>
      <c r="I84" s="2">
        <v>1</v>
      </c>
    </row>
    <row r="85" spans="1:9">
      <c r="A85" s="1" t="s">
        <v>12</v>
      </c>
      <c r="B85" s="1">
        <v>43707</v>
      </c>
      <c r="C85" s="3">
        <v>2972</v>
      </c>
      <c r="D85" s="3">
        <v>2497</v>
      </c>
      <c r="E85" s="3">
        <v>396</v>
      </c>
      <c r="F85" s="12">
        <v>79</v>
      </c>
      <c r="G85" s="9">
        <f>(Table1345[Terpakai]+Table1345[Staging])/Table1345[Qty Lokasi]</f>
        <v>0.86675639300134588</v>
      </c>
      <c r="H85" s="9">
        <f>Table1345[Max]-Table1345[Occupancy]</f>
        <v>0.13324360699865412</v>
      </c>
      <c r="I85" s="2">
        <v>1</v>
      </c>
    </row>
    <row r="86" spans="1:9">
      <c r="A86" s="1" t="s">
        <v>12</v>
      </c>
      <c r="B86" s="1">
        <v>43710</v>
      </c>
      <c r="C86" s="3">
        <v>2972</v>
      </c>
      <c r="D86" s="3">
        <v>2457</v>
      </c>
      <c r="E86" s="3">
        <v>470</v>
      </c>
      <c r="F86" s="12">
        <v>45</v>
      </c>
      <c r="G86" s="9">
        <f>(Table1345[Terpakai]+Table1345[Staging])/Table1345[Qty Lokasi]</f>
        <v>0.84185733512785998</v>
      </c>
      <c r="H86" s="9">
        <f>Table1345[Max]-Table1345[Occupancy]</f>
        <v>0.15814266487214002</v>
      </c>
      <c r="I86" s="2">
        <v>1</v>
      </c>
    </row>
    <row r="87" spans="1:9">
      <c r="A87" s="1" t="s">
        <v>12</v>
      </c>
      <c r="B87" s="1">
        <v>43711</v>
      </c>
      <c r="C87" s="3">
        <v>2972</v>
      </c>
      <c r="D87" s="3">
        <v>2456</v>
      </c>
      <c r="E87" s="3">
        <v>288</v>
      </c>
      <c r="F87" s="12">
        <v>228</v>
      </c>
      <c r="G87" s="9">
        <f>(Table1345[Terpakai]+Table1345[Staging])/Table1345[Qty Lokasi]</f>
        <v>0.90309555854643342</v>
      </c>
      <c r="H87" s="9">
        <f>Table1345[Max]-Table1345[Occupancy]</f>
        <v>9.6904441453566581E-2</v>
      </c>
      <c r="I87" s="2">
        <v>1</v>
      </c>
    </row>
    <row r="88" spans="1:9">
      <c r="A88" s="1" t="s">
        <v>12</v>
      </c>
      <c r="B88" s="1">
        <v>43712</v>
      </c>
      <c r="C88" s="3">
        <v>2972</v>
      </c>
      <c r="D88" s="3">
        <v>2437</v>
      </c>
      <c r="E88" s="3">
        <v>406</v>
      </c>
      <c r="F88" s="12">
        <v>129</v>
      </c>
      <c r="G88" s="9">
        <f>(Table1345[Terpakai]+Table1345[Staging])/Table1345[Qty Lokasi]</f>
        <v>0.86339165545087482</v>
      </c>
      <c r="H88" s="9">
        <f>Table1345[Max]-Table1345[Occupancy]</f>
        <v>0.13660834454912518</v>
      </c>
      <c r="I88" s="2">
        <v>1</v>
      </c>
    </row>
    <row r="89" spans="1:9">
      <c r="A89" s="1" t="s">
        <v>12</v>
      </c>
      <c r="B89" s="1">
        <v>43713</v>
      </c>
      <c r="C89" s="3">
        <v>2972</v>
      </c>
      <c r="D89" s="3">
        <v>2457</v>
      </c>
      <c r="E89" s="3">
        <v>476</v>
      </c>
      <c r="F89" s="12">
        <v>39</v>
      </c>
      <c r="G89" s="9">
        <f>(Table1345[Terpakai]+Table1345[Staging])/Table1345[Qty Lokasi]</f>
        <v>0.83983849259757737</v>
      </c>
      <c r="H89" s="9">
        <f>Table1345[Max]-Table1345[Occupancy]</f>
        <v>0.16016150740242263</v>
      </c>
      <c r="I89" s="2">
        <v>1</v>
      </c>
    </row>
    <row r="90" spans="1:9">
      <c r="A90" s="1" t="s">
        <v>12</v>
      </c>
      <c r="B90" s="1">
        <v>43714</v>
      </c>
      <c r="C90" s="3">
        <v>2972</v>
      </c>
      <c r="D90" s="3">
        <v>2382</v>
      </c>
      <c r="E90" s="3">
        <v>467</v>
      </c>
      <c r="F90" s="12">
        <v>123</v>
      </c>
      <c r="G90" s="9">
        <f>(Table1345[Terpakai]+Table1345[Staging])/Table1345[Qty Lokasi]</f>
        <v>0.84286675639300135</v>
      </c>
      <c r="H90" s="9">
        <f>Table1345[Max]-Table1345[Occupancy]</f>
        <v>0.15713324360699865</v>
      </c>
      <c r="I90" s="2">
        <v>1</v>
      </c>
    </row>
    <row r="91" spans="1:9">
      <c r="A91" s="1" t="s">
        <v>12</v>
      </c>
      <c r="B91" s="1">
        <v>43717</v>
      </c>
      <c r="C91" s="3">
        <v>2972</v>
      </c>
      <c r="D91" s="3">
        <v>2317</v>
      </c>
      <c r="E91" s="3">
        <v>567</v>
      </c>
      <c r="F91" s="12">
        <v>88</v>
      </c>
      <c r="G91" s="9">
        <f>(Table1345[Terpakai]+Table1345[Staging])/Table1345[Qty Lokasi]</f>
        <v>0.80921938088829071</v>
      </c>
      <c r="H91" s="9">
        <f>Table1345[Max]-Table1345[Occupancy]</f>
        <v>0.19078061911170929</v>
      </c>
      <c r="I91" s="2">
        <v>1</v>
      </c>
    </row>
    <row r="92" spans="1:9">
      <c r="A92" s="1" t="s">
        <v>12</v>
      </c>
      <c r="B92" s="1">
        <v>43718</v>
      </c>
      <c r="C92" s="3">
        <v>3024</v>
      </c>
      <c r="D92" s="3">
        <v>2431</v>
      </c>
      <c r="E92" s="3">
        <v>368</v>
      </c>
      <c r="F92" s="12">
        <v>225</v>
      </c>
      <c r="G92" s="9">
        <f>(Table1345[Terpakai]+Table1345[Staging])/Table1345[Qty Lokasi]</f>
        <v>0.87830687830687826</v>
      </c>
      <c r="H92" s="9">
        <f>Table1345[Max]-Table1345[Occupancy]</f>
        <v>0.12169312169312174</v>
      </c>
      <c r="I92" s="2">
        <v>1</v>
      </c>
    </row>
    <row r="93" spans="1:9">
      <c r="A93" s="1" t="s">
        <v>12</v>
      </c>
      <c r="B93" s="1">
        <v>43719</v>
      </c>
      <c r="C93" s="3">
        <v>3024</v>
      </c>
      <c r="D93" s="3">
        <v>2426</v>
      </c>
      <c r="E93" s="3">
        <v>213</v>
      </c>
      <c r="F93" s="12">
        <v>385</v>
      </c>
      <c r="G93" s="9">
        <f>(Table1345[Terpakai]+Table1345[Staging])/Table1345[Qty Lokasi]</f>
        <v>0.92956349206349209</v>
      </c>
      <c r="H93" s="9">
        <f>Table1345[Max]-Table1345[Occupancy]</f>
        <v>7.0436507936507908E-2</v>
      </c>
      <c r="I93" s="2">
        <v>1</v>
      </c>
    </row>
    <row r="94" spans="1:9">
      <c r="A94" s="1" t="s">
        <v>12</v>
      </c>
      <c r="B94" s="1">
        <v>43720</v>
      </c>
      <c r="C94" s="3">
        <v>3024</v>
      </c>
      <c r="D94" s="3">
        <v>2450</v>
      </c>
      <c r="E94" s="3">
        <v>260</v>
      </c>
      <c r="F94" s="12">
        <v>314</v>
      </c>
      <c r="G94" s="9">
        <f>(Table1345[Terpakai]+Table1345[Staging])/Table1345[Qty Lokasi]</f>
        <v>0.91402116402116407</v>
      </c>
      <c r="H94" s="9">
        <f>Table1345[Max]-Table1345[Occupancy]</f>
        <v>8.5978835978835932E-2</v>
      </c>
      <c r="I94" s="2">
        <v>1</v>
      </c>
    </row>
    <row r="95" spans="1:9">
      <c r="A95" s="1" t="s">
        <v>12</v>
      </c>
      <c r="B95" s="1">
        <v>43721</v>
      </c>
      <c r="C95" s="3">
        <v>3152</v>
      </c>
      <c r="D95" s="3">
        <v>2533</v>
      </c>
      <c r="E95" s="3">
        <v>419</v>
      </c>
      <c r="F95" s="12">
        <v>239</v>
      </c>
      <c r="G95" s="9">
        <f>(Table1345[Terpakai]+Table1345[Staging])/Table1345[Qty Lokasi]</f>
        <v>0.87944162436548223</v>
      </c>
      <c r="H95" s="9">
        <f>Table1345[Max]-Table1345[Occupancy]</f>
        <v>0.12055837563451777</v>
      </c>
      <c r="I95" s="2">
        <v>1</v>
      </c>
    </row>
    <row r="96" spans="1:9">
      <c r="A96" s="1" t="s">
        <v>12</v>
      </c>
      <c r="B96" s="1">
        <v>43724</v>
      </c>
      <c r="C96" s="3">
        <v>3152</v>
      </c>
      <c r="D96" s="3">
        <v>2488</v>
      </c>
      <c r="E96" s="3">
        <v>651</v>
      </c>
      <c r="F96" s="12">
        <v>171</v>
      </c>
      <c r="G96" s="9">
        <f>(Table1345[Terpakai]+Table1345[Staging])/Table1345[Qty Lokasi]</f>
        <v>0.84359137055837563</v>
      </c>
      <c r="H96" s="9">
        <f>Table1345[Max]-Table1345[Occupancy]</f>
        <v>0.15640862944162437</v>
      </c>
      <c r="I96" s="2">
        <v>1</v>
      </c>
    </row>
    <row r="97" spans="1:9">
      <c r="A97" s="1" t="s">
        <v>12</v>
      </c>
      <c r="B97" s="1">
        <v>43725</v>
      </c>
      <c r="C97" s="3">
        <v>3152</v>
      </c>
      <c r="D97" s="3">
        <v>2535</v>
      </c>
      <c r="E97" s="3">
        <v>387</v>
      </c>
      <c r="F97" s="12">
        <v>304</v>
      </c>
      <c r="G97" s="9">
        <f>(Table1345[Terpakai]+Table1345[Staging])/Table1345[Qty Lokasi]</f>
        <v>0.90069796954314718</v>
      </c>
      <c r="H97" s="9">
        <f>Table1345[Max]-Table1345[Occupancy]</f>
        <v>9.9302030456852819E-2</v>
      </c>
      <c r="I97" s="2">
        <v>1</v>
      </c>
    </row>
    <row r="98" spans="1:9">
      <c r="A98" s="1" t="s">
        <v>12</v>
      </c>
      <c r="B98" s="1">
        <v>43726</v>
      </c>
      <c r="C98" s="3">
        <v>3152</v>
      </c>
      <c r="D98" s="3">
        <v>2612</v>
      </c>
      <c r="E98" s="3">
        <v>402</v>
      </c>
      <c r="F98" s="12">
        <v>167</v>
      </c>
      <c r="G98" s="9">
        <f>(Table1345[Terpakai]+Table1345[Staging])/Table1345[Qty Lokasi]</f>
        <v>0.8816624365482234</v>
      </c>
      <c r="H98" s="9">
        <f>Table1345[Max]-Table1345[Occupancy]</f>
        <v>0.1183375634517766</v>
      </c>
      <c r="I98" s="2">
        <v>1</v>
      </c>
    </row>
    <row r="99" spans="1:9">
      <c r="A99" s="1" t="s">
        <v>12</v>
      </c>
      <c r="B99" s="1">
        <v>43727</v>
      </c>
      <c r="C99" s="3">
        <v>3152</v>
      </c>
      <c r="D99" s="3">
        <v>2643</v>
      </c>
      <c r="E99" s="3">
        <v>427</v>
      </c>
      <c r="F99" s="12">
        <v>116</v>
      </c>
      <c r="G99" s="9">
        <f>(Table1345[Terpakai]+Table1345[Staging])/Table1345[Qty Lokasi]</f>
        <v>0.87531725888324874</v>
      </c>
      <c r="H99" s="9">
        <f>Table1345[Max]-Table1345[Occupancy]</f>
        <v>0.12468274111675126</v>
      </c>
      <c r="I99" s="2">
        <v>1</v>
      </c>
    </row>
    <row r="100" spans="1:9">
      <c r="A100" s="1" t="s">
        <v>12</v>
      </c>
      <c r="B100" s="1">
        <v>43728</v>
      </c>
      <c r="C100" s="3">
        <v>3152</v>
      </c>
      <c r="D100" s="3">
        <v>2597</v>
      </c>
      <c r="E100" s="3">
        <v>523</v>
      </c>
      <c r="F100" s="12">
        <v>59</v>
      </c>
      <c r="G100" s="9">
        <f>(Table1345[Terpakai]+Table1345[Staging])/Table1345[Qty Lokasi]</f>
        <v>0.84263959390862941</v>
      </c>
      <c r="H100" s="9">
        <f>Table1345[Max]-Table1345[Occupancy]</f>
        <v>0.15736040609137059</v>
      </c>
      <c r="I100" s="2">
        <v>1</v>
      </c>
    </row>
    <row r="101" spans="1:9">
      <c r="A101" s="1" t="s">
        <v>12</v>
      </c>
      <c r="B101" s="1">
        <v>43731</v>
      </c>
      <c r="C101" s="3">
        <v>3179</v>
      </c>
      <c r="D101" s="3">
        <v>2561</v>
      </c>
      <c r="E101" s="3">
        <v>618</v>
      </c>
      <c r="F101" s="12">
        <v>0</v>
      </c>
      <c r="G101" s="9">
        <f>(Table1345[Terpakai]+Table1345[Staging])/Table1345[Qty Lokasi]</f>
        <v>0.80559924504561187</v>
      </c>
      <c r="H101" s="9">
        <f>Table1345[Max]-Table1345[Occupancy]</f>
        <v>0.19440075495438813</v>
      </c>
      <c r="I101" s="2">
        <v>1</v>
      </c>
    </row>
    <row r="102" spans="1:9">
      <c r="A102" s="1" t="s">
        <v>12</v>
      </c>
      <c r="B102" s="1">
        <v>43732</v>
      </c>
      <c r="C102" s="3">
        <v>3179</v>
      </c>
      <c r="D102" s="3">
        <v>2518</v>
      </c>
      <c r="E102" s="3">
        <v>411</v>
      </c>
      <c r="F102" s="12">
        <v>250</v>
      </c>
      <c r="G102" s="9">
        <f>(Table1345[Terpakai]+Table1345[Staging])/Table1345[Qty Lokasi]</f>
        <v>0.87071406102547966</v>
      </c>
      <c r="H102" s="9">
        <f>Table1345[Max]-Table1345[Occupancy]</f>
        <v>0.12928593897452034</v>
      </c>
      <c r="I102" s="2">
        <v>1</v>
      </c>
    </row>
    <row r="103" spans="1:9">
      <c r="A103" s="1" t="s">
        <v>12</v>
      </c>
      <c r="B103" s="1">
        <v>43733</v>
      </c>
      <c r="C103" s="3">
        <v>3179</v>
      </c>
      <c r="D103" s="3">
        <v>2647</v>
      </c>
      <c r="E103" s="3">
        <v>288</v>
      </c>
      <c r="F103" s="12">
        <v>244</v>
      </c>
      <c r="G103" s="9">
        <f>(Table1345[Terpakai]+Table1345[Staging])/Table1345[Qty Lokasi]</f>
        <v>0.90940547341931421</v>
      </c>
      <c r="H103" s="9">
        <f>Table1345[Max]-Table1345[Occupancy]</f>
        <v>9.0594526580685786E-2</v>
      </c>
      <c r="I103" s="2">
        <v>1</v>
      </c>
    </row>
    <row r="104" spans="1:9">
      <c r="A104" s="1" t="s">
        <v>12</v>
      </c>
      <c r="B104" s="1">
        <v>43734</v>
      </c>
      <c r="C104" s="3">
        <v>3179</v>
      </c>
      <c r="D104" s="3">
        <v>2631</v>
      </c>
      <c r="E104" s="3">
        <v>300</v>
      </c>
      <c r="F104" s="12">
        <v>248</v>
      </c>
      <c r="G104" s="9">
        <f>(Table1345[Terpakai]+Table1345[Staging])/Table1345[Qty Lokasi]</f>
        <v>0.90563070147845237</v>
      </c>
      <c r="H104" s="9">
        <f>Table1345[Max]-Table1345[Occupancy]</f>
        <v>9.4369298521547629E-2</v>
      </c>
      <c r="I104" s="2">
        <v>1</v>
      </c>
    </row>
    <row r="105" spans="1:9">
      <c r="A105" s="1" t="s">
        <v>12</v>
      </c>
      <c r="B105" s="1">
        <v>43735</v>
      </c>
      <c r="C105" s="3">
        <v>3179</v>
      </c>
      <c r="D105" s="24">
        <v>2636</v>
      </c>
      <c r="E105" s="25">
        <v>543</v>
      </c>
      <c r="F105" s="25">
        <v>217</v>
      </c>
      <c r="G105" s="9">
        <f>(Table1345[Terpakai]+Table1345[Staging])/Table1345[Qty Lokasi]</f>
        <v>0.89745202893991827</v>
      </c>
      <c r="H105" s="9">
        <f>Table1345[Max]-Table1345[Occupancy]</f>
        <v>0.10254797106008173</v>
      </c>
      <c r="I105" s="2">
        <v>1</v>
      </c>
    </row>
    <row r="106" spans="1:9">
      <c r="A106" s="1" t="s">
        <v>12</v>
      </c>
      <c r="B106" s="1">
        <v>43738</v>
      </c>
      <c r="C106" s="3">
        <v>3179</v>
      </c>
      <c r="D106" s="3">
        <v>2680</v>
      </c>
      <c r="E106" s="3">
        <v>456</v>
      </c>
      <c r="F106" s="12">
        <v>43</v>
      </c>
      <c r="G106" s="9">
        <f>(Table1345[Terpakai]+Table1345[Staging])/Table1345[Qty Lokasi]</f>
        <v>0.85655866624724752</v>
      </c>
      <c r="H106" s="9">
        <f>Table1345[Max]-Table1345[Occupancy]</f>
        <v>0.14344133375275248</v>
      </c>
      <c r="I106" s="2">
        <v>1</v>
      </c>
    </row>
    <row r="107" spans="1:9">
      <c r="A107" s="1" t="s">
        <v>12</v>
      </c>
      <c r="B107" s="1">
        <v>43739</v>
      </c>
      <c r="C107" s="3">
        <v>3179</v>
      </c>
      <c r="D107" s="3">
        <v>2539</v>
      </c>
      <c r="E107" s="3">
        <v>587</v>
      </c>
      <c r="F107" s="12">
        <v>53</v>
      </c>
      <c r="G107" s="9">
        <f>(Table1345[Terpakai]+Table1345[Staging])/Table1345[Qty Lokasi]</f>
        <v>0.81535073922617174</v>
      </c>
      <c r="H107" s="9">
        <f>Table1345[Max]-Table1345[Occupancy]</f>
        <v>0.18464926077382826</v>
      </c>
      <c r="I107" s="2">
        <v>1</v>
      </c>
    </row>
    <row r="108" spans="1:9">
      <c r="A108" s="1" t="s">
        <v>12</v>
      </c>
      <c r="B108" s="1">
        <v>43740</v>
      </c>
      <c r="C108" s="3">
        <v>3179</v>
      </c>
      <c r="D108" s="3">
        <v>2482</v>
      </c>
      <c r="E108" s="3">
        <v>367</v>
      </c>
      <c r="F108" s="12">
        <v>330</v>
      </c>
      <c r="G108" s="9">
        <f>(Table1345[Terpakai]+Table1345[Staging])/Table1345[Qty Lokasi]</f>
        <v>0.88455489147530675</v>
      </c>
      <c r="H108" s="9">
        <f>Table1345[Max]-Table1345[Occupancy]</f>
        <v>0.11544510852469325</v>
      </c>
      <c r="I108" s="2">
        <v>1</v>
      </c>
    </row>
    <row r="109" spans="1:9">
      <c r="A109" s="1" t="s">
        <v>12</v>
      </c>
      <c r="B109" s="1">
        <v>43741</v>
      </c>
      <c r="C109" s="3">
        <v>3179</v>
      </c>
      <c r="D109" s="3">
        <v>2555</v>
      </c>
      <c r="E109" s="3">
        <v>392</v>
      </c>
      <c r="F109" s="12">
        <v>232</v>
      </c>
      <c r="G109" s="9">
        <f>(Table1345[Terpakai]+Table1345[Staging])/Table1345[Qty Lokasi]</f>
        <v>0.87669078326517769</v>
      </c>
      <c r="H109" s="9">
        <f>Table1345[Max]-Table1345[Occupancy]</f>
        <v>0.12330921673482231</v>
      </c>
      <c r="I109" s="2">
        <v>1</v>
      </c>
    </row>
    <row r="110" spans="1:9">
      <c r="A110" s="1" t="s">
        <v>12</v>
      </c>
      <c r="B110" s="1">
        <v>43742</v>
      </c>
      <c r="C110" s="3">
        <v>3179</v>
      </c>
      <c r="D110" s="3">
        <v>2497</v>
      </c>
      <c r="E110" s="3">
        <v>408</v>
      </c>
      <c r="F110" s="12">
        <v>274</v>
      </c>
      <c r="G110" s="9">
        <f>(Table1345[Terpakai]+Table1345[Staging])/Table1345[Qty Lokasi]</f>
        <v>0.87165775401069523</v>
      </c>
      <c r="H110" s="9">
        <f>Table1345[Max]-Table1345[Occupancy]</f>
        <v>0.12834224598930477</v>
      </c>
      <c r="I110" s="2">
        <v>1</v>
      </c>
    </row>
    <row r="111" spans="1:9">
      <c r="A111" s="1" t="s">
        <v>12</v>
      </c>
      <c r="B111" s="1">
        <v>43748</v>
      </c>
      <c r="C111" s="3">
        <v>3179</v>
      </c>
      <c r="D111" s="3">
        <v>2620</v>
      </c>
      <c r="E111" s="3">
        <v>375</v>
      </c>
      <c r="F111" s="12">
        <v>184</v>
      </c>
      <c r="G111" s="9">
        <f>(Table1345[Terpakai]+Table1345[Staging])/Table1345[Qty Lokasi]</f>
        <v>0.88203837684806541</v>
      </c>
      <c r="H111" s="9">
        <f>Table1345[Max]-Table1345[Occupancy]</f>
        <v>0.11796162315193459</v>
      </c>
      <c r="I111" s="2">
        <v>1</v>
      </c>
    </row>
    <row r="112" spans="1:9">
      <c r="A112" s="1" t="s">
        <v>12</v>
      </c>
      <c r="B112" s="1">
        <v>43749</v>
      </c>
      <c r="C112" s="3">
        <v>3179</v>
      </c>
      <c r="D112" s="3">
        <v>2598</v>
      </c>
      <c r="E112" s="3">
        <v>421</v>
      </c>
      <c r="F112" s="12">
        <v>160</v>
      </c>
      <c r="G112" s="9">
        <f>(Table1345[Terpakai]+Table1345[Staging])/Table1345[Qty Lokasi]</f>
        <v>0.86756841774142812</v>
      </c>
      <c r="H112" s="9">
        <f>Table1345[Max]-Table1345[Occupancy]</f>
        <v>0.13243158225857188</v>
      </c>
      <c r="I112" s="2">
        <v>1</v>
      </c>
    </row>
    <row r="113" spans="1:9">
      <c r="A113" s="1" t="s">
        <v>12</v>
      </c>
      <c r="B113" s="1">
        <v>43752</v>
      </c>
      <c r="C113" s="3">
        <v>3179</v>
      </c>
      <c r="D113" s="3">
        <v>2638</v>
      </c>
      <c r="E113" s="3">
        <v>516</v>
      </c>
      <c r="F113" s="12">
        <v>25</v>
      </c>
      <c r="G113" s="9">
        <f>(Table1345[Terpakai]+Table1345[Staging])/Table1345[Qty Lokasi]</f>
        <v>0.83768480654293798</v>
      </c>
      <c r="H113" s="9">
        <f>Table1345[Max]-Table1345[Occupancy]</f>
        <v>0.16231519345706202</v>
      </c>
      <c r="I113" s="2">
        <v>1</v>
      </c>
    </row>
    <row r="114" spans="1:9">
      <c r="A114" s="1" t="s">
        <v>12</v>
      </c>
      <c r="B114" s="1">
        <v>43753</v>
      </c>
      <c r="C114" s="3">
        <v>3179</v>
      </c>
      <c r="D114" s="3">
        <v>2591</v>
      </c>
      <c r="E114" s="3">
        <v>355</v>
      </c>
      <c r="F114" s="12">
        <v>233</v>
      </c>
      <c r="G114" s="9">
        <f>(Table1345[Terpakai]+Table1345[Staging])/Table1345[Qty Lokasi]</f>
        <v>0.88832966341616859</v>
      </c>
      <c r="H114" s="9">
        <f>Table1345[Max]-Table1345[Occupancy]</f>
        <v>0.11167033658383141</v>
      </c>
      <c r="I114" s="2">
        <v>1</v>
      </c>
    </row>
    <row r="115" spans="1:9">
      <c r="A115" s="1" t="s">
        <v>12</v>
      </c>
      <c r="B115" s="1">
        <v>43754</v>
      </c>
      <c r="C115" s="3">
        <v>3272</v>
      </c>
      <c r="D115" s="3">
        <v>2577</v>
      </c>
      <c r="E115" s="3">
        <v>428</v>
      </c>
      <c r="F115" s="12">
        <v>267</v>
      </c>
      <c r="G115" s="9">
        <f>(Table1345[Terpakai]+Table1345[Staging])/Table1345[Qty Lokasi]</f>
        <v>0.86919315403422981</v>
      </c>
      <c r="H115" s="9">
        <f>Table1345[Max]-Table1345[Occupancy]</f>
        <v>0.13080684596577019</v>
      </c>
      <c r="I115" s="2">
        <v>1</v>
      </c>
    </row>
    <row r="116" spans="1:9">
      <c r="A116" s="1" t="s">
        <v>12</v>
      </c>
      <c r="B116" s="1">
        <v>43755</v>
      </c>
      <c r="C116" s="3">
        <v>3272</v>
      </c>
      <c r="D116" s="3">
        <v>2565</v>
      </c>
      <c r="E116" s="3">
        <v>523</v>
      </c>
      <c r="F116" s="12">
        <v>184</v>
      </c>
      <c r="G116" s="9">
        <f>(Table1345[Terpakai]+Table1345[Staging])/Table1345[Qty Lokasi]</f>
        <v>0.84015892420537897</v>
      </c>
      <c r="H116" s="9">
        <f>Table1345[Max]-Table1345[Occupancy]</f>
        <v>0.15984107579462103</v>
      </c>
      <c r="I116" s="2">
        <v>1</v>
      </c>
    </row>
    <row r="117" spans="1:9">
      <c r="A117" s="1" t="s">
        <v>12</v>
      </c>
      <c r="B117" s="1">
        <v>43756</v>
      </c>
      <c r="C117" s="3">
        <v>3272</v>
      </c>
      <c r="D117" s="3">
        <v>2483</v>
      </c>
      <c r="E117" s="3">
        <v>624</v>
      </c>
      <c r="F117" s="12">
        <v>165</v>
      </c>
      <c r="G117" s="9">
        <f>(Table1345[Terpakai]+Table1345[Staging])/Table1345[Qty Lokasi]</f>
        <v>0.80929095354523228</v>
      </c>
      <c r="H117" s="9">
        <f>Table1345[Max]-Table1345[Occupancy]</f>
        <v>0.19070904645476772</v>
      </c>
      <c r="I117" s="2">
        <v>1</v>
      </c>
    </row>
    <row r="118" spans="1:9">
      <c r="A118" s="1" t="s">
        <v>12</v>
      </c>
      <c r="B118" s="1">
        <v>43759</v>
      </c>
      <c r="C118" s="3">
        <v>3195</v>
      </c>
      <c r="D118" s="3">
        <v>2526</v>
      </c>
      <c r="E118" s="3">
        <v>666</v>
      </c>
      <c r="F118" s="12">
        <v>3</v>
      </c>
      <c r="G118" s="9">
        <f>(Table1345[Terpakai]+Table1345[Staging])/Table1345[Qty Lokasi]</f>
        <v>0.79154929577464783</v>
      </c>
      <c r="H118" s="9">
        <f>Table1345[Max]-Table1345[Occupancy]</f>
        <v>0.20845070422535217</v>
      </c>
      <c r="I118" s="2">
        <v>1</v>
      </c>
    </row>
    <row r="119" spans="1:9">
      <c r="A119" s="1" t="s">
        <v>12</v>
      </c>
      <c r="B119" s="1">
        <v>43760</v>
      </c>
      <c r="C119" s="3">
        <v>3182</v>
      </c>
      <c r="D119" s="3">
        <v>2468</v>
      </c>
      <c r="E119" s="3">
        <v>162</v>
      </c>
      <c r="F119" s="12">
        <v>552</v>
      </c>
      <c r="G119" s="9">
        <f>(Table1345[Terpakai]+Table1345[Staging])/Table1345[Qty Lokasi]</f>
        <v>0.94908862350722811</v>
      </c>
      <c r="H119" s="9">
        <f>Table1345[Max]-Table1345[Occupancy]</f>
        <v>5.0911376492771887E-2</v>
      </c>
      <c r="I119" s="2">
        <v>1</v>
      </c>
    </row>
    <row r="120" spans="1:9">
      <c r="A120" s="1" t="s">
        <v>12</v>
      </c>
      <c r="B120" s="1">
        <v>43761</v>
      </c>
      <c r="C120" s="3">
        <v>3234</v>
      </c>
      <c r="D120" s="3">
        <v>2455</v>
      </c>
      <c r="E120" s="3">
        <v>455</v>
      </c>
      <c r="F120" s="12">
        <v>324</v>
      </c>
      <c r="G120" s="9">
        <f>(Table1345[Terpakai]+Table1345[Staging])/Table1345[Qty Lokasi]</f>
        <v>0.85930735930735935</v>
      </c>
      <c r="H120" s="9">
        <f>Table1345[Max]-Table1345[Occupancy]</f>
        <v>0.14069264069264065</v>
      </c>
      <c r="I120" s="2">
        <v>1</v>
      </c>
    </row>
    <row r="121" spans="1:9">
      <c r="A121" s="1" t="s">
        <v>12</v>
      </c>
      <c r="B121" s="1">
        <v>43762</v>
      </c>
      <c r="C121" s="3">
        <v>3234</v>
      </c>
      <c r="D121" s="3">
        <v>2638</v>
      </c>
      <c r="E121" s="3">
        <v>406</v>
      </c>
      <c r="F121" s="12">
        <v>190</v>
      </c>
      <c r="G121" s="9">
        <f>(Table1345[Terpakai]+Table1345[Staging])/Table1345[Qty Lokasi]</f>
        <v>0.87445887445887449</v>
      </c>
      <c r="H121" s="9">
        <f>Table1345[Max]-Table1345[Occupancy]</f>
        <v>0.12554112554112551</v>
      </c>
      <c r="I121" s="2">
        <v>1</v>
      </c>
    </row>
    <row r="122" spans="1:9">
      <c r="A122" s="1" t="s">
        <v>12</v>
      </c>
      <c r="B122" s="1">
        <v>43763</v>
      </c>
      <c r="C122" s="3">
        <v>3234</v>
      </c>
      <c r="D122" s="3">
        <v>2623</v>
      </c>
      <c r="E122" s="3">
        <v>592</v>
      </c>
      <c r="F122" s="12">
        <v>19</v>
      </c>
      <c r="G122" s="9">
        <f>(Table1345[Terpakai]+Table1345[Staging])/Table1345[Qty Lokasi]</f>
        <v>0.81694495980210269</v>
      </c>
      <c r="H122" s="9">
        <f>Table1345[Max]-Table1345[Occupancy]</f>
        <v>0.18305504019789731</v>
      </c>
      <c r="I122" s="2">
        <v>1</v>
      </c>
    </row>
    <row r="123" spans="1:9">
      <c r="A123" s="1" t="s">
        <v>12</v>
      </c>
      <c r="B123" s="1">
        <v>43766</v>
      </c>
      <c r="C123" s="3">
        <v>3234</v>
      </c>
      <c r="D123" s="3">
        <v>2500</v>
      </c>
      <c r="E123" s="3">
        <v>691</v>
      </c>
      <c r="F123" s="12">
        <v>43</v>
      </c>
      <c r="G123" s="9">
        <f>(Table1345[Terpakai]+Table1345[Staging])/Table1345[Qty Lokasi]</f>
        <v>0.78633271490414347</v>
      </c>
      <c r="H123" s="9">
        <f>Table1345[Max]-Table1345[Occupancy]</f>
        <v>0.21366728509585653</v>
      </c>
      <c r="I123" s="2">
        <v>1</v>
      </c>
    </row>
    <row r="124" spans="1:9">
      <c r="A124" s="1" t="s">
        <v>12</v>
      </c>
      <c r="B124" s="1">
        <v>43767</v>
      </c>
      <c r="C124" s="3">
        <v>3234</v>
      </c>
      <c r="D124" s="3">
        <v>2370</v>
      </c>
      <c r="E124" s="3">
        <v>703</v>
      </c>
      <c r="F124" s="12">
        <v>161</v>
      </c>
      <c r="G124" s="9">
        <f>(Table1345[Terpakai]+Table1345[Staging])/Table1345[Qty Lokasi]</f>
        <v>0.78262213976499695</v>
      </c>
      <c r="H124" s="9">
        <f>Table1345[Max]-Table1345[Occupancy]</f>
        <v>0.21737786023500305</v>
      </c>
      <c r="I124" s="2">
        <v>1</v>
      </c>
    </row>
    <row r="125" spans="1:9">
      <c r="A125" s="1" t="s">
        <v>12</v>
      </c>
      <c r="B125" s="1">
        <v>43768</v>
      </c>
      <c r="C125" s="3">
        <v>3234</v>
      </c>
      <c r="D125" s="3">
        <v>2482</v>
      </c>
      <c r="E125" s="3">
        <v>674</v>
      </c>
      <c r="F125" s="12">
        <v>78</v>
      </c>
      <c r="G125" s="9">
        <f>(Table1345[Terpakai]+Table1345[Staging])/Table1345[Qty Lokasi]</f>
        <v>0.79158936301793448</v>
      </c>
      <c r="H125" s="9">
        <f>Table1345[Max]-Table1345[Occupancy]</f>
        <v>0.20841063698206552</v>
      </c>
      <c r="I125" s="2">
        <v>1</v>
      </c>
    </row>
    <row r="126" spans="1:9">
      <c r="A126" s="1" t="s">
        <v>12</v>
      </c>
      <c r="B126" s="1">
        <v>43769</v>
      </c>
      <c r="C126" s="3">
        <v>3234</v>
      </c>
      <c r="D126" s="3">
        <v>2468</v>
      </c>
      <c r="E126" s="3">
        <v>741</v>
      </c>
      <c r="F126" s="12">
        <v>25</v>
      </c>
      <c r="G126" s="9">
        <f>(Table1345[Terpakai]+Table1345[Staging])/Table1345[Qty Lokasi]</f>
        <v>0.77087198515769939</v>
      </c>
      <c r="H126" s="9">
        <f>Table1345[Max]-Table1345[Occupancy]</f>
        <v>0.22912801484230061</v>
      </c>
      <c r="I126" s="2">
        <v>1</v>
      </c>
    </row>
    <row r="127" spans="1:9">
      <c r="A127" s="1" t="s">
        <v>12</v>
      </c>
      <c r="B127" s="1">
        <v>43770</v>
      </c>
      <c r="C127" s="3">
        <v>3234</v>
      </c>
      <c r="D127" s="3">
        <v>2230</v>
      </c>
      <c r="E127" s="3">
        <v>945</v>
      </c>
      <c r="F127" s="12">
        <v>59</v>
      </c>
      <c r="G127" s="9">
        <f>(Table1345[Terpakai]+Table1345[Staging])/Table1345[Qty Lokasi]</f>
        <v>0.70779220779220775</v>
      </c>
      <c r="H127" s="9">
        <f>Table1345[Max]-Table1345[Occupancy]</f>
        <v>0.29220779220779225</v>
      </c>
      <c r="I127" s="2">
        <v>1</v>
      </c>
    </row>
    <row r="128" spans="1:9">
      <c r="A128" s="1" t="s">
        <v>12</v>
      </c>
      <c r="B128" s="1">
        <v>43773</v>
      </c>
      <c r="C128" s="3">
        <v>3234</v>
      </c>
      <c r="D128" s="3">
        <v>2301</v>
      </c>
      <c r="E128" s="3">
        <v>924</v>
      </c>
      <c r="F128" s="12">
        <v>9</v>
      </c>
      <c r="G128" s="9">
        <f>(Table1345[Terpakai]+Table1345[Staging])/Table1345[Qty Lokasi]</f>
        <v>0.7142857142857143</v>
      </c>
      <c r="H128" s="9">
        <f>Table1345[Max]-Table1345[Occupancy]</f>
        <v>0.2857142857142857</v>
      </c>
      <c r="I128" s="2">
        <v>1</v>
      </c>
    </row>
    <row r="129" spans="1:9">
      <c r="A129" s="1" t="s">
        <v>12</v>
      </c>
      <c r="B129" s="1">
        <v>43774</v>
      </c>
      <c r="C129" s="3">
        <v>3234</v>
      </c>
      <c r="D129" s="3">
        <v>2256</v>
      </c>
      <c r="E129" s="3">
        <v>697</v>
      </c>
      <c r="F129" s="12">
        <v>281</v>
      </c>
      <c r="G129" s="9">
        <f>(Table1345[Terpakai]+Table1345[Staging])/Table1345[Qty Lokasi]</f>
        <v>0.78447742733457015</v>
      </c>
      <c r="H129" s="9">
        <f>Table1345[Max]-Table1345[Occupancy]</f>
        <v>0.21552257266542985</v>
      </c>
      <c r="I129" s="2">
        <v>1</v>
      </c>
    </row>
    <row r="130" spans="1:9">
      <c r="A130" s="1" t="s">
        <v>12</v>
      </c>
      <c r="B130" s="1">
        <v>43775</v>
      </c>
      <c r="C130" s="3">
        <v>3234</v>
      </c>
      <c r="D130" s="3">
        <v>2343</v>
      </c>
      <c r="E130" s="3">
        <v>665</v>
      </c>
      <c r="F130" s="12">
        <v>226</v>
      </c>
      <c r="G130" s="9">
        <f>(Table1345[Terpakai]+Table1345[Staging])/Table1345[Qty Lokasi]</f>
        <v>0.7943722943722944</v>
      </c>
      <c r="H130" s="9">
        <f>Table1345[Max]-Table1345[Occupancy]</f>
        <v>0.2056277056277056</v>
      </c>
      <c r="I130" s="2">
        <v>1</v>
      </c>
    </row>
    <row r="131" spans="1:9">
      <c r="A131" s="1" t="s">
        <v>12</v>
      </c>
      <c r="B131" s="1">
        <v>43776</v>
      </c>
      <c r="C131" s="3">
        <v>3234</v>
      </c>
      <c r="D131" s="3">
        <v>2521</v>
      </c>
      <c r="E131" s="3">
        <v>484</v>
      </c>
      <c r="F131" s="12">
        <v>229</v>
      </c>
      <c r="G131" s="9">
        <f>(Table1345[Terpakai]+Table1345[Staging])/Table1345[Qty Lokasi]</f>
        <v>0.85034013605442171</v>
      </c>
      <c r="H131" s="9">
        <f>Table1345[Max]-Table1345[Occupancy]</f>
        <v>0.14965986394557829</v>
      </c>
      <c r="I131" s="2">
        <v>1</v>
      </c>
    </row>
    <row r="132" spans="1:9">
      <c r="A132" s="1" t="s">
        <v>12</v>
      </c>
      <c r="B132" s="1">
        <v>43777</v>
      </c>
      <c r="C132" s="3">
        <v>3234</v>
      </c>
      <c r="D132" s="3">
        <v>2545</v>
      </c>
      <c r="E132" s="3">
        <v>522</v>
      </c>
      <c r="F132" s="12">
        <v>167</v>
      </c>
      <c r="G132" s="9">
        <f>(Table1345[Terpakai]+Table1345[Staging])/Table1345[Qty Lokasi]</f>
        <v>0.83858998144712427</v>
      </c>
      <c r="H132" s="9">
        <f>Table1345[Max]-Table1345[Occupancy]</f>
        <v>0.16141001855287573</v>
      </c>
      <c r="I132" s="2">
        <v>1</v>
      </c>
    </row>
    <row r="133" spans="1:9">
      <c r="A133" s="1" t="s">
        <v>12</v>
      </c>
      <c r="B133" s="1">
        <v>43780</v>
      </c>
      <c r="C133" s="3">
        <v>3234</v>
      </c>
      <c r="D133" s="3">
        <v>2543</v>
      </c>
      <c r="E133" s="3">
        <v>691</v>
      </c>
      <c r="F133" s="12">
        <v>0</v>
      </c>
      <c r="G133" s="9">
        <f>(Table1345[Terpakai]+Table1345[Staging])/Table1345[Qty Lokasi]</f>
        <v>0.78633271490414347</v>
      </c>
      <c r="H133" s="9">
        <f>Table1345[Max]-Table1345[Occupancy]</f>
        <v>0.21366728509585653</v>
      </c>
      <c r="I133" s="2">
        <v>1</v>
      </c>
    </row>
    <row r="134" spans="1:9">
      <c r="A134" s="1" t="s">
        <v>12</v>
      </c>
      <c r="B134" s="1">
        <v>43781</v>
      </c>
      <c r="C134" s="3">
        <v>3234</v>
      </c>
      <c r="D134" s="3">
        <v>2562</v>
      </c>
      <c r="E134" s="3">
        <v>501</v>
      </c>
      <c r="F134" s="12">
        <v>171</v>
      </c>
      <c r="G134" s="9">
        <f>(Table1345[Terpakai]+Table1345[Staging])/Table1345[Qty Lokasi]</f>
        <v>0.84508348794063082</v>
      </c>
      <c r="H134" s="9">
        <f>Table1345[Max]-Table1345[Occupancy]</f>
        <v>0.15491651205936918</v>
      </c>
      <c r="I134" s="2">
        <v>1</v>
      </c>
    </row>
    <row r="135" spans="1:9">
      <c r="A135" s="1" t="s">
        <v>12</v>
      </c>
      <c r="B135" s="1">
        <v>43782</v>
      </c>
      <c r="C135" s="3">
        <v>3234</v>
      </c>
      <c r="D135" s="3">
        <v>2632</v>
      </c>
      <c r="E135" s="3">
        <v>432</v>
      </c>
      <c r="F135" s="12">
        <v>170</v>
      </c>
      <c r="G135" s="9">
        <f>(Table1345[Terpakai]+Table1345[Staging])/Table1345[Qty Lokasi]</f>
        <v>0.86641929499072357</v>
      </c>
      <c r="H135" s="9">
        <f>Table1345[Max]-Table1345[Occupancy]</f>
        <v>0.13358070500927643</v>
      </c>
      <c r="I135" s="2">
        <v>1</v>
      </c>
    </row>
    <row r="136" spans="1:9">
      <c r="A136" s="1" t="s">
        <v>12</v>
      </c>
      <c r="B136" s="1">
        <v>43783</v>
      </c>
      <c r="C136" s="3">
        <v>3278</v>
      </c>
      <c r="D136" s="3">
        <v>2648</v>
      </c>
      <c r="E136" s="3">
        <v>559</v>
      </c>
      <c r="F136" s="12">
        <v>71</v>
      </c>
      <c r="G136" s="9">
        <f>(Table1345[Terpakai]+Table1345[Staging])/Table1345[Qty Lokasi]</f>
        <v>0.82946918852959117</v>
      </c>
      <c r="H136" s="9">
        <f>Table1345[Max]-Table1345[Occupancy]</f>
        <v>0.17053081147040883</v>
      </c>
      <c r="I136" s="2">
        <v>1</v>
      </c>
    </row>
    <row r="137" spans="1:9">
      <c r="A137" s="1" t="s">
        <v>12</v>
      </c>
      <c r="B137" s="1">
        <v>43784</v>
      </c>
      <c r="C137" s="3">
        <v>3264</v>
      </c>
      <c r="D137" s="3">
        <v>2595</v>
      </c>
      <c r="E137" s="3">
        <v>620</v>
      </c>
      <c r="F137" s="12">
        <v>49</v>
      </c>
      <c r="G137" s="9">
        <f>(Table1345[Terpakai]+Table1345[Staging])/Table1345[Qty Lokasi]</f>
        <v>0.81004901960784315</v>
      </c>
      <c r="H137" s="9">
        <f>Table1345[Max]-Table1345[Occupancy]</f>
        <v>0.18995098039215685</v>
      </c>
      <c r="I137" s="2">
        <v>1</v>
      </c>
    </row>
    <row r="138" spans="1:9">
      <c r="A138" s="1" t="s">
        <v>12</v>
      </c>
      <c r="B138" s="1">
        <v>43787</v>
      </c>
      <c r="C138" s="3">
        <v>3264</v>
      </c>
      <c r="D138" s="3">
        <v>2533</v>
      </c>
      <c r="E138" s="3">
        <v>669</v>
      </c>
      <c r="F138" s="12">
        <v>62</v>
      </c>
      <c r="G138" s="9">
        <f>(Table1345[Terpakai]+Table1345[Staging])/Table1345[Qty Lokasi]</f>
        <v>0.79503676470588236</v>
      </c>
      <c r="H138" s="9">
        <f>Table1345[Max]-Table1345[Occupancy]</f>
        <v>0.20496323529411764</v>
      </c>
      <c r="I138" s="2">
        <v>1</v>
      </c>
    </row>
    <row r="139" spans="1:9">
      <c r="A139" s="1" t="s">
        <v>12</v>
      </c>
      <c r="B139" s="1">
        <v>43788</v>
      </c>
      <c r="C139" s="3">
        <v>3264</v>
      </c>
      <c r="D139" s="3">
        <v>2506</v>
      </c>
      <c r="E139" s="3">
        <v>530</v>
      </c>
      <c r="F139" s="12">
        <v>228</v>
      </c>
      <c r="G139" s="9">
        <f>(Table1345[Terpakai]+Table1345[Staging])/Table1345[Qty Lokasi]</f>
        <v>0.83762254901960786</v>
      </c>
      <c r="H139" s="9">
        <f>Table1345[Max]-Table1345[Occupancy]</f>
        <v>0.16237745098039214</v>
      </c>
      <c r="I139" s="2">
        <v>1</v>
      </c>
    </row>
    <row r="140" spans="1:9">
      <c r="A140" s="1" t="s">
        <v>12</v>
      </c>
      <c r="B140" s="1">
        <v>43789</v>
      </c>
      <c r="C140" s="3">
        <v>3264</v>
      </c>
      <c r="D140" s="3">
        <v>2542</v>
      </c>
      <c r="E140" s="3">
        <v>653</v>
      </c>
      <c r="F140" s="12">
        <v>69</v>
      </c>
      <c r="G140" s="9">
        <f>(Table1345[Terpakai]+Table1345[Staging])/Table1345[Qty Lokasi]</f>
        <v>0.79993872549019607</v>
      </c>
      <c r="H140" s="9">
        <f>Table1345[Max]-Table1345[Occupancy]</f>
        <v>0.20006127450980393</v>
      </c>
      <c r="I140" s="2">
        <v>1</v>
      </c>
    </row>
    <row r="141" spans="1:9">
      <c r="A141" s="1" t="s">
        <v>12</v>
      </c>
      <c r="B141" s="1">
        <v>43790</v>
      </c>
      <c r="C141" s="3">
        <v>3264</v>
      </c>
      <c r="D141" s="3">
        <v>2563</v>
      </c>
      <c r="E141" s="3">
        <v>581</v>
      </c>
      <c r="F141" s="12">
        <v>120</v>
      </c>
      <c r="G141" s="9">
        <f>(Table1345[Terpakai]+Table1345[Staging])/Table1345[Qty Lokasi]</f>
        <v>0.82199754901960786</v>
      </c>
      <c r="H141" s="9">
        <f>Table1345[Max]-Table1345[Occupancy]</f>
        <v>0.17800245098039214</v>
      </c>
      <c r="I141" s="2">
        <v>1</v>
      </c>
    </row>
    <row r="142" spans="1:9">
      <c r="A142" s="1" t="s">
        <v>12</v>
      </c>
      <c r="B142" s="1">
        <v>43791</v>
      </c>
      <c r="C142" s="3">
        <v>3296</v>
      </c>
      <c r="D142" s="3">
        <v>2552</v>
      </c>
      <c r="E142" s="3">
        <v>733</v>
      </c>
      <c r="F142" s="12">
        <v>11</v>
      </c>
      <c r="G142" s="9">
        <f>(Table1345[Terpakai]+Table1345[Staging])/Table1345[Qty Lokasi]</f>
        <v>0.77760922330097082</v>
      </c>
      <c r="H142" s="9">
        <f>Table1345[Max]-Table1345[Occupancy]</f>
        <v>0.22239077669902918</v>
      </c>
      <c r="I142" s="2">
        <v>1</v>
      </c>
    </row>
    <row r="143" spans="1:9">
      <c r="A143" s="1" t="s">
        <v>12</v>
      </c>
      <c r="B143" s="1">
        <v>43794</v>
      </c>
      <c r="C143" s="3">
        <v>3296</v>
      </c>
      <c r="D143" s="3">
        <v>2508</v>
      </c>
      <c r="E143" s="3">
        <v>754</v>
      </c>
      <c r="F143" s="12">
        <v>34</v>
      </c>
      <c r="G143" s="9">
        <f>(Table1345[Terpakai]+Table1345[Staging])/Table1345[Qty Lokasi]</f>
        <v>0.77123786407766992</v>
      </c>
      <c r="H143" s="9">
        <f>Table1345[Max]-Table1345[Occupancy]</f>
        <v>0.22876213592233008</v>
      </c>
      <c r="I143" s="2">
        <v>1</v>
      </c>
    </row>
    <row r="144" spans="1:9">
      <c r="A144" s="1" t="s">
        <v>12</v>
      </c>
      <c r="B144" s="1">
        <v>43795</v>
      </c>
      <c r="C144" s="3">
        <v>3296</v>
      </c>
      <c r="D144" s="3">
        <v>2359</v>
      </c>
      <c r="E144" s="3">
        <v>655</v>
      </c>
      <c r="F144" s="12">
        <v>282</v>
      </c>
      <c r="G144" s="9">
        <f>(Table1345[Terpakai]+Table1345[Staging])/Table1345[Qty Lokasi]</f>
        <v>0.80127427184466016</v>
      </c>
      <c r="H144" s="9">
        <f>Table1345[Max]-Table1345[Occupancy]</f>
        <v>0.19872572815533984</v>
      </c>
      <c r="I144" s="2">
        <v>1</v>
      </c>
    </row>
    <row r="145" spans="1:9">
      <c r="A145" s="1" t="s">
        <v>12</v>
      </c>
      <c r="B145" s="1">
        <v>43796</v>
      </c>
      <c r="C145" s="3">
        <v>3296</v>
      </c>
      <c r="D145" s="3">
        <v>2451</v>
      </c>
      <c r="E145" s="3">
        <v>583</v>
      </c>
      <c r="F145" s="12">
        <v>262</v>
      </c>
      <c r="G145" s="9">
        <f>(Table1345[Terpakai]+Table1345[Staging])/Table1345[Qty Lokasi]</f>
        <v>0.82311893203883491</v>
      </c>
      <c r="H145" s="9">
        <f>Table1345[Max]-Table1345[Occupancy]</f>
        <v>0.17688106796116509</v>
      </c>
      <c r="I145" s="2">
        <v>1</v>
      </c>
    </row>
    <row r="146" spans="1:9">
      <c r="A146" s="1" t="s">
        <v>12</v>
      </c>
      <c r="B146" s="1">
        <v>43797</v>
      </c>
      <c r="C146" s="3">
        <v>3296</v>
      </c>
      <c r="D146" s="3">
        <v>2515</v>
      </c>
      <c r="E146" s="3">
        <v>572</v>
      </c>
      <c r="F146" s="12">
        <v>209</v>
      </c>
      <c r="G146" s="9">
        <f>(Table1345[Terpakai]+Table1345[Staging])/Table1345[Qty Lokasi]</f>
        <v>0.82645631067961167</v>
      </c>
      <c r="H146" s="9">
        <f>Table1345[Max]-Table1345[Occupancy]</f>
        <v>0.17354368932038833</v>
      </c>
      <c r="I146" s="2">
        <v>1</v>
      </c>
    </row>
    <row r="147" spans="1:9">
      <c r="A147" s="1" t="s">
        <v>12</v>
      </c>
      <c r="B147" s="1">
        <v>43798</v>
      </c>
      <c r="C147" s="3">
        <v>3296</v>
      </c>
      <c r="D147" s="3">
        <v>2514</v>
      </c>
      <c r="E147" s="3">
        <v>604</v>
      </c>
      <c r="F147" s="12">
        <v>178</v>
      </c>
      <c r="G147" s="9">
        <f>(Table1345[Terpakai]+Table1345[Staging])/Table1345[Qty Lokasi]</f>
        <v>0.81674757281553401</v>
      </c>
      <c r="H147" s="9">
        <f>Table1345[Max]-Table1345[Occupancy]</f>
        <v>0.18325242718446599</v>
      </c>
      <c r="I147" s="2">
        <v>1</v>
      </c>
    </row>
    <row r="148" spans="1:9">
      <c r="A148" s="1" t="s">
        <v>12</v>
      </c>
      <c r="B148" s="1">
        <v>43801</v>
      </c>
      <c r="C148" s="3">
        <v>3296</v>
      </c>
      <c r="D148" s="3">
        <v>2488</v>
      </c>
      <c r="E148" s="3">
        <v>720</v>
      </c>
      <c r="F148" s="12">
        <v>88</v>
      </c>
      <c r="G148" s="9">
        <f>(Table1345[Terpakai]+Table1345[Staging])/Table1345[Qty Lokasi]</f>
        <v>0.78155339805825241</v>
      </c>
      <c r="H148" s="9">
        <f>Table1345[Max]-Table1345[Occupancy]</f>
        <v>0.21844660194174759</v>
      </c>
      <c r="I148" s="2">
        <v>1</v>
      </c>
    </row>
    <row r="149" spans="1:9">
      <c r="A149" s="1" t="s">
        <v>12</v>
      </c>
      <c r="B149" s="1">
        <v>43802</v>
      </c>
      <c r="C149" s="3">
        <v>3296</v>
      </c>
      <c r="D149" s="3">
        <v>2513</v>
      </c>
      <c r="E149" s="3">
        <v>639</v>
      </c>
      <c r="F149" s="12">
        <v>144</v>
      </c>
      <c r="G149" s="9">
        <f>(Table1345[Terpakai]+Table1345[Staging])/Table1345[Qty Lokasi]</f>
        <v>0.80612864077669899</v>
      </c>
      <c r="H149" s="9">
        <f>Table1345[Max]-Table1345[Occupancy]</f>
        <v>0.19387135922330101</v>
      </c>
      <c r="I149" s="2">
        <v>1</v>
      </c>
    </row>
    <row r="150" spans="1:9">
      <c r="A150" s="1" t="s">
        <v>12</v>
      </c>
      <c r="B150" s="1">
        <v>43803</v>
      </c>
      <c r="C150" s="3">
        <v>3020</v>
      </c>
      <c r="D150" s="3">
        <v>2494</v>
      </c>
      <c r="E150" s="3">
        <v>526</v>
      </c>
      <c r="F150" s="12">
        <v>0</v>
      </c>
      <c r="G150" s="9">
        <f>(Table1345[Terpakai]+Table1345[Staging])/Table1345[Qty Lokasi]</f>
        <v>0.82582781456953647</v>
      </c>
      <c r="H150" s="9">
        <f>Table1345[Max]-Table1345[Occupancy]</f>
        <v>0.17417218543046353</v>
      </c>
      <c r="I150" s="2">
        <v>1</v>
      </c>
    </row>
    <row r="151" spans="1:9">
      <c r="A151" s="1" t="s">
        <v>12</v>
      </c>
      <c r="B151" s="1">
        <v>43804</v>
      </c>
      <c r="C151" s="3">
        <v>3020</v>
      </c>
      <c r="D151" s="3">
        <v>2395</v>
      </c>
      <c r="E151" s="3">
        <v>584</v>
      </c>
      <c r="F151" s="12">
        <v>41</v>
      </c>
      <c r="G151" s="9">
        <f>(Table1345[Terpakai]+Table1345[Staging])/Table1345[Qty Lokasi]</f>
        <v>0.80662251655629136</v>
      </c>
      <c r="H151" s="9">
        <f>Table1345[Max]-Table1345[Occupancy]</f>
        <v>0.19337748344370864</v>
      </c>
      <c r="I151" s="2">
        <v>1</v>
      </c>
    </row>
    <row r="152" spans="1:9">
      <c r="A152" s="1" t="s">
        <v>12</v>
      </c>
      <c r="B152" s="1">
        <v>43805</v>
      </c>
      <c r="C152" s="3">
        <v>3020</v>
      </c>
      <c r="D152" s="3">
        <v>2317</v>
      </c>
      <c r="E152" s="3">
        <v>671</v>
      </c>
      <c r="F152" s="12">
        <v>32</v>
      </c>
      <c r="G152" s="9">
        <f>(Table1345[Terpakai]+Table1345[Staging])/Table1345[Qty Lokasi]</f>
        <v>0.77781456953642381</v>
      </c>
      <c r="H152" s="9">
        <f>Table1345[Max]-Table1345[Occupancy]</f>
        <v>0.22218543046357619</v>
      </c>
      <c r="I152" s="2">
        <v>1</v>
      </c>
    </row>
    <row r="153" spans="1:9">
      <c r="A153" s="1" t="s">
        <v>12</v>
      </c>
      <c r="B153" s="1">
        <v>43808</v>
      </c>
      <c r="C153" s="3">
        <v>3020</v>
      </c>
      <c r="D153" s="3">
        <v>2377</v>
      </c>
      <c r="E153" s="3">
        <v>588</v>
      </c>
      <c r="F153" s="12">
        <v>55</v>
      </c>
      <c r="G153" s="9">
        <f>(Table1345[Terpakai]+Table1345[Staging])/Table1345[Qty Lokasi]</f>
        <v>0.80529801324503314</v>
      </c>
      <c r="H153" s="9">
        <f>Table1345[Max]-Table1345[Occupancy]</f>
        <v>0.19470198675496686</v>
      </c>
      <c r="I153" s="2">
        <v>1</v>
      </c>
    </row>
    <row r="154" spans="1:9">
      <c r="A154" s="1" t="s">
        <v>12</v>
      </c>
      <c r="B154" s="1">
        <v>43809</v>
      </c>
      <c r="C154" s="3">
        <v>3020</v>
      </c>
      <c r="D154" s="3">
        <v>2484</v>
      </c>
      <c r="E154" s="3">
        <v>275</v>
      </c>
      <c r="F154" s="12">
        <v>261</v>
      </c>
      <c r="G154" s="9">
        <f>(Table1345[Terpakai]+Table1345[Staging])/Table1345[Qty Lokasi]</f>
        <v>0.90894039735099341</v>
      </c>
      <c r="H154" s="9">
        <f>Table1345[Max]-Table1345[Occupancy]</f>
        <v>9.1059602649006588E-2</v>
      </c>
      <c r="I154" s="2">
        <v>1</v>
      </c>
    </row>
    <row r="155" spans="1:9">
      <c r="A155" s="1" t="s">
        <v>12</v>
      </c>
      <c r="B155" s="1">
        <v>43810</v>
      </c>
      <c r="C155" s="3">
        <v>3020</v>
      </c>
      <c r="D155" s="3">
        <v>2709</v>
      </c>
      <c r="E155" s="3">
        <v>76</v>
      </c>
      <c r="F155" s="12">
        <v>235</v>
      </c>
      <c r="G155" s="9">
        <f>(Table1345[Terpakai]+Table1345[Staging])/Table1345[Qty Lokasi]</f>
        <v>0.97483443708609274</v>
      </c>
      <c r="H155" s="9">
        <f>Table1345[Max]-Table1345[Occupancy]</f>
        <v>2.5165562913907258E-2</v>
      </c>
      <c r="I155" s="2">
        <v>1</v>
      </c>
    </row>
    <row r="156" spans="1:9">
      <c r="A156" s="1" t="s">
        <v>12</v>
      </c>
      <c r="B156" s="1">
        <v>43811</v>
      </c>
      <c r="C156" s="3">
        <v>3020</v>
      </c>
      <c r="D156" s="3">
        <v>2651</v>
      </c>
      <c r="E156" s="3">
        <v>160</v>
      </c>
      <c r="F156" s="12">
        <v>209</v>
      </c>
      <c r="G156" s="9">
        <f>(Table1345[Terpakai]+Table1345[Staging])/Table1345[Qty Lokasi]</f>
        <v>0.94701986754966883</v>
      </c>
      <c r="H156" s="9">
        <f>Table1345[Max]-Table1345[Occupancy]</f>
        <v>5.2980132450331174E-2</v>
      </c>
      <c r="I156" s="2">
        <v>1</v>
      </c>
    </row>
    <row r="157" spans="1:9">
      <c r="A157" s="1" t="s">
        <v>12</v>
      </c>
      <c r="B157" s="1">
        <v>43812</v>
      </c>
      <c r="C157" s="3">
        <v>3020</v>
      </c>
      <c r="D157" s="3">
        <v>2712</v>
      </c>
      <c r="E157" s="3">
        <v>234</v>
      </c>
      <c r="F157" s="12">
        <v>74</v>
      </c>
      <c r="G157" s="9">
        <f>(Table1345[Terpakai]+Table1345[Staging])/Table1345[Qty Lokasi]</f>
        <v>0.92251655629139073</v>
      </c>
      <c r="H157" s="9">
        <f>Table1345[Max]-Table1345[Occupancy]</f>
        <v>7.7483443708609268E-2</v>
      </c>
      <c r="I157" s="2">
        <v>1</v>
      </c>
    </row>
    <row r="158" spans="1:9">
      <c r="A158" s="1" t="s">
        <v>12</v>
      </c>
      <c r="B158" s="1">
        <v>43815</v>
      </c>
      <c r="C158" s="3">
        <v>3020</v>
      </c>
      <c r="D158" s="3">
        <v>2630</v>
      </c>
      <c r="E158" s="3">
        <v>390</v>
      </c>
      <c r="F158" s="12">
        <v>0</v>
      </c>
      <c r="G158" s="9">
        <f>(Table1345[Terpakai]+Table1345[Staging])/Table1345[Qty Lokasi]</f>
        <v>0.87086092715231789</v>
      </c>
      <c r="H158" s="9">
        <f>Table1345[Max]-Table1345[Occupancy]</f>
        <v>0.12913907284768211</v>
      </c>
      <c r="I158" s="2">
        <v>1</v>
      </c>
    </row>
    <row r="159" spans="1:9">
      <c r="A159" s="1" t="s">
        <v>12</v>
      </c>
      <c r="B159" s="1">
        <v>43816</v>
      </c>
      <c r="C159" s="3">
        <v>3020</v>
      </c>
      <c r="D159" s="3">
        <v>2586</v>
      </c>
      <c r="E159" s="3">
        <v>212</v>
      </c>
      <c r="F159" s="12">
        <v>222</v>
      </c>
      <c r="G159" s="9">
        <f>(Table1345[Terpakai]+Table1345[Staging])/Table1345[Qty Lokasi]</f>
        <v>0.92980132450331121</v>
      </c>
      <c r="H159" s="9">
        <f>Table1345[Max]-Table1345[Occupancy]</f>
        <v>7.0198675496688789E-2</v>
      </c>
      <c r="I159" s="2">
        <v>1</v>
      </c>
    </row>
    <row r="160" spans="1:9">
      <c r="A160" s="1" t="s">
        <v>12</v>
      </c>
      <c r="B160" s="1">
        <v>43817</v>
      </c>
      <c r="C160" s="3">
        <v>3020</v>
      </c>
      <c r="D160" s="3">
        <v>2587</v>
      </c>
      <c r="E160" s="3">
        <v>71</v>
      </c>
      <c r="F160" s="12">
        <v>362</v>
      </c>
      <c r="G160" s="9">
        <f>(Table1345[Terpakai]+Table1345[Staging])/Table1345[Qty Lokasi]</f>
        <v>0.97649006622516554</v>
      </c>
      <c r="H160" s="9">
        <f>Table1345[Max]-Table1345[Occupancy]</f>
        <v>2.3509933774834457E-2</v>
      </c>
      <c r="I160" s="2">
        <v>1</v>
      </c>
    </row>
    <row r="161" spans="1:9">
      <c r="A161" s="1" t="s">
        <v>12</v>
      </c>
      <c r="B161" s="1">
        <v>43818</v>
      </c>
      <c r="C161" s="3">
        <v>3020</v>
      </c>
      <c r="D161" s="3">
        <v>2615</v>
      </c>
      <c r="E161" s="3">
        <v>191</v>
      </c>
      <c r="F161" s="12">
        <v>214</v>
      </c>
      <c r="G161" s="9">
        <f>(Table1345[Terpakai]+Table1345[Staging])/Table1345[Qty Lokasi]</f>
        <v>0.93675496688741722</v>
      </c>
      <c r="H161" s="9">
        <f>Table1345[Max]-Table1345[Occupancy]</f>
        <v>6.3245033112582782E-2</v>
      </c>
      <c r="I161" s="2">
        <v>1</v>
      </c>
    </row>
    <row r="162" spans="1:9">
      <c r="A162" s="1" t="s">
        <v>12</v>
      </c>
      <c r="B162" s="1">
        <v>43819</v>
      </c>
      <c r="C162" s="3">
        <v>3020</v>
      </c>
      <c r="D162" s="3">
        <v>2659</v>
      </c>
      <c r="E162" s="3">
        <v>277</v>
      </c>
      <c r="F162" s="12">
        <v>84</v>
      </c>
      <c r="G162" s="9">
        <f>(Table1345[Terpakai]+Table1345[Staging])/Table1345[Qty Lokasi]</f>
        <v>0.90827814569536425</v>
      </c>
      <c r="H162" s="9">
        <f>Table1345[Max]-Table1345[Occupancy]</f>
        <v>9.1721854304635753E-2</v>
      </c>
      <c r="I162" s="2">
        <v>1</v>
      </c>
    </row>
    <row r="163" spans="1:9">
      <c r="A163" s="1" t="s">
        <v>12</v>
      </c>
      <c r="B163" s="1">
        <v>43822</v>
      </c>
      <c r="C163" s="3">
        <v>3020</v>
      </c>
      <c r="D163" s="3">
        <v>2658</v>
      </c>
      <c r="E163" s="3">
        <v>283</v>
      </c>
      <c r="F163" s="12">
        <v>79</v>
      </c>
      <c r="G163" s="9">
        <f>(Table1345[Terpakai]+Table1345[Staging])/Table1345[Qty Lokasi]</f>
        <v>0.90629139072847686</v>
      </c>
      <c r="H163" s="9">
        <f>Table1345[Max]-Table1345[Occupancy]</f>
        <v>9.3708609271523136E-2</v>
      </c>
      <c r="I163" s="2">
        <v>1</v>
      </c>
    </row>
    <row r="164" spans="1:9">
      <c r="A164" s="1" t="s">
        <v>12</v>
      </c>
      <c r="B164" s="1">
        <v>43825</v>
      </c>
      <c r="C164" s="3">
        <v>3077</v>
      </c>
      <c r="D164" s="3">
        <v>2689</v>
      </c>
      <c r="E164" s="3">
        <v>158</v>
      </c>
      <c r="F164" s="12">
        <v>230</v>
      </c>
      <c r="G164" s="9">
        <f>(Table1345[Terpakai]+Table1345[Staging])/Table1345[Qty Lokasi]</f>
        <v>0.94865128371790708</v>
      </c>
      <c r="H164" s="9">
        <f>Table1345[Max]-Table1345[Occupancy]</f>
        <v>5.1348716282092921E-2</v>
      </c>
      <c r="I164" s="2">
        <v>1</v>
      </c>
    </row>
    <row r="165" spans="1:9">
      <c r="A165" s="1" t="s">
        <v>12</v>
      </c>
      <c r="B165" s="1">
        <v>43827</v>
      </c>
      <c r="C165" s="3">
        <v>3077</v>
      </c>
      <c r="D165" s="3">
        <v>2624</v>
      </c>
      <c r="E165" s="3">
        <v>169</v>
      </c>
      <c r="F165" s="12">
        <v>284</v>
      </c>
      <c r="G165" s="9">
        <f>(Table1345[Terpakai]+Table1345[Staging])/Table1345[Qty Lokasi]</f>
        <v>0.94507637309067272</v>
      </c>
      <c r="H165" s="9">
        <f>Table1345[Max]-Table1345[Occupancy]</f>
        <v>5.4923626909327283E-2</v>
      </c>
      <c r="I165" s="2">
        <v>1</v>
      </c>
    </row>
    <row r="166" spans="1:9">
      <c r="A166" s="1" t="s">
        <v>12</v>
      </c>
      <c r="B166" s="1">
        <v>43829</v>
      </c>
      <c r="C166" s="3">
        <v>3077</v>
      </c>
      <c r="D166" s="3">
        <v>2653</v>
      </c>
      <c r="E166" s="3">
        <v>324</v>
      </c>
      <c r="F166" s="12">
        <v>100</v>
      </c>
      <c r="G166" s="9">
        <f>(Table1345[Terpakai]+Table1345[Staging])/Table1345[Qty Lokasi]</f>
        <v>0.89470263243418913</v>
      </c>
      <c r="H166" s="9">
        <f>Table1345[Max]-Table1345[Occupancy]</f>
        <v>0.10529736756581087</v>
      </c>
      <c r="I166" s="2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J26" sqref="J26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Occupancy_SAI</vt:lpstr>
      <vt:lpstr>P_SAI</vt:lpstr>
      <vt:lpstr>Occupancy_JAI</vt:lpstr>
      <vt:lpstr>P_JAI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Bambang Irawan</dc:creator>
  <cp:lastModifiedBy>Agus Bambang Irawan</cp:lastModifiedBy>
  <dcterms:created xsi:type="dcterms:W3CDTF">2019-06-25T11:00:55Z</dcterms:created>
  <dcterms:modified xsi:type="dcterms:W3CDTF">2019-12-30T01:13:47Z</dcterms:modified>
</cp:coreProperties>
</file>